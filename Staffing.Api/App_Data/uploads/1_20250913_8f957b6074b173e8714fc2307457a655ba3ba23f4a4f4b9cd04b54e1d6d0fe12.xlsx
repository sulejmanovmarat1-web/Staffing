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13_ncr:1_{9D7DF2B3-014F-4766-9982-E67FE259D751}" xr6:coauthVersionLast="45" xr6:coauthVersionMax="45" xr10:uidLastSave="{00000000-0000-0000-0000-000000000000}"/>
  <bookViews>
    <workbookView xWindow="-108" yWindow="-108" windowWidth="23256" windowHeight="12456" xr2:uid="{D0EBD44C-9E96-4E85-9EFD-B004353BD072}"/>
  </bookViews>
  <sheets>
    <sheet name="ППВ" sheetId="1" r:id="rId1"/>
  </sheets>
  <definedNames>
    <definedName name="_xlnm.Print_Titles" localSheetId="0">ППВ!$3:$4</definedName>
    <definedName name="_xlnm.Print_Area" localSheetId="0">ППВ!$A$1:$AS$9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AS9" i="1" l="1"/>
  <c r="AR9" i="1"/>
  <c r="AQ9" i="1"/>
  <c r="AO9" i="1"/>
  <c r="AN9" i="1"/>
  <c r="AI9" i="1"/>
  <c r="AL9" i="1" s="1"/>
  <c r="AG9" i="1"/>
  <c r="AF9" i="1"/>
  <c r="AD9" i="1"/>
  <c r="AB9" i="1"/>
  <c r="Z9" i="1"/>
  <c r="Y9" i="1"/>
  <c r="V9" i="1"/>
  <c r="T9" i="1"/>
  <c r="S9" i="1"/>
  <c r="R9" i="1"/>
  <c r="P9" i="1"/>
  <c r="O9" i="1"/>
  <c r="N9" i="1"/>
  <c r="L9" i="1"/>
  <c r="K9" i="1"/>
  <c r="AJ9" i="1" s="1"/>
  <c r="AM9" i="1" s="1"/>
  <c r="J9" i="1"/>
  <c r="AE9" i="1" s="1"/>
  <c r="I9" i="1"/>
  <c r="G9" i="1"/>
  <c r="F9" i="1"/>
  <c r="D9" i="1"/>
  <c r="AP8" i="1"/>
  <c r="AM8" i="1"/>
  <c r="AL8" i="1"/>
  <c r="AK8" i="1"/>
  <c r="AJ8" i="1"/>
  <c r="AI8" i="1"/>
  <c r="AG8" i="1"/>
  <c r="AE8" i="1"/>
  <c r="AC8" i="1"/>
  <c r="AA8" i="1"/>
  <c r="X8" i="1"/>
  <c r="V8" i="1"/>
  <c r="W8" i="1" s="1"/>
  <c r="U8" i="1"/>
  <c r="Q8" i="1"/>
  <c r="M8" i="1"/>
  <c r="I8" i="1"/>
  <c r="F8" i="1"/>
  <c r="D8" i="1"/>
  <c r="AP7" i="1"/>
  <c r="AM7" i="1"/>
  <c r="AL7" i="1"/>
  <c r="AK7" i="1"/>
  <c r="AJ7" i="1"/>
  <c r="AI7" i="1"/>
  <c r="AG7" i="1"/>
  <c r="AE7" i="1"/>
  <c r="AC7" i="1"/>
  <c r="AA7" i="1"/>
  <c r="X7" i="1"/>
  <c r="V7" i="1"/>
  <c r="W7" i="1" s="1"/>
  <c r="U7" i="1"/>
  <c r="U9" i="1" s="1"/>
  <c r="Q7" i="1"/>
  <c r="M7" i="1"/>
  <c r="I7" i="1"/>
  <c r="F7" i="1"/>
  <c r="D7" i="1"/>
  <c r="AP6" i="1"/>
  <c r="AM6" i="1"/>
  <c r="AL6" i="1"/>
  <c r="AK6" i="1"/>
  <c r="AJ6" i="1"/>
  <c r="AI6" i="1"/>
  <c r="AG6" i="1"/>
  <c r="AE6" i="1"/>
  <c r="AC6" i="1"/>
  <c r="AA6" i="1"/>
  <c r="X6" i="1"/>
  <c r="V6" i="1"/>
  <c r="W6" i="1" s="1"/>
  <c r="U6" i="1"/>
  <c r="Q6" i="1"/>
  <c r="M6" i="1"/>
  <c r="M9" i="1" s="1"/>
  <c r="I6" i="1"/>
  <c r="F6" i="1"/>
  <c r="D6" i="1"/>
  <c r="AP5" i="1"/>
  <c r="AP9" i="1" s="1"/>
  <c r="AM5" i="1"/>
  <c r="AL5" i="1"/>
  <c r="AK5" i="1"/>
  <c r="AJ5" i="1"/>
  <c r="AI5" i="1"/>
  <c r="AG5" i="1"/>
  <c r="AE5" i="1"/>
  <c r="AC5" i="1"/>
  <c r="AC9" i="1" s="1"/>
  <c r="AA5" i="1"/>
  <c r="AA9" i="1" s="1"/>
  <c r="X5" i="1"/>
  <c r="X9" i="1" s="1"/>
  <c r="W5" i="1"/>
  <c r="W9" i="1" s="1"/>
  <c r="V5" i="1"/>
  <c r="U5" i="1"/>
  <c r="Q5" i="1"/>
  <c r="Q9" i="1" s="1"/>
  <c r="M5" i="1"/>
  <c r="I5" i="1"/>
  <c r="F5" i="1"/>
  <c r="AK9" i="1" l="1"/>
</calcChain>
</file>

<file path=xl/sharedStrings.xml><?xml version="1.0" encoding="utf-8"?>
<sst xmlns="http://schemas.openxmlformats.org/spreadsheetml/2006/main" count="59" uniqueCount="54">
  <si>
    <t xml:space="preserve">Сведения об укомплектованности проводников пассажирских вагонов </t>
  </si>
  <si>
    <t>Филиалы/
СП филиалов</t>
  </si>
  <si>
    <t>Потребность ноября</t>
  </si>
  <si>
    <t>Списочная численность на 14.09.2025</t>
  </si>
  <si>
    <t>постоянный контингент на 14.09.2025</t>
  </si>
  <si>
    <t>постоянный контингент на 31.01.2025</t>
  </si>
  <si>
    <t>изменение численности постоянного контингента  к 31.01.2025</t>
  </si>
  <si>
    <t>временный контингент на 07.09.2025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</si>
  <si>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</si>
  <si>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</si>
  <si>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</si>
  <si>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</si>
  <si>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</si>
  <si>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тех. потребность сентября</t>
  </si>
  <si>
    <t>Штатное расписание с врем.</t>
  </si>
  <si>
    <t xml:space="preserve">% укомпл. 
Факт.ВСЕГО к штатному расписанию с врем.   </t>
  </si>
  <si>
    <t>Задание по содержанию пост.конт.</t>
  </si>
  <si>
    <t>Разница между штатным расписанием 
и заданием</t>
  </si>
  <si>
    <t>% укомпл. 
постоян. конт. к заданию по содержанию</t>
  </si>
  <si>
    <t>дефицитк заданию по содержанию  пост. контингента</t>
  </si>
  <si>
    <t xml:space="preserve">дефицит  всего к штатному расписанию </t>
  </si>
  <si>
    <t>% укомпл. ВСЕГО
к штатному расписанию.</t>
  </si>
  <si>
    <t>План приема сентября</t>
  </si>
  <si>
    <t>Факт приема на 14.09.2025</t>
  </si>
  <si>
    <t>Отклонение</t>
  </si>
  <si>
    <t xml:space="preserve">Находятся на этапе прохождения мед комиссии </t>
  </si>
  <si>
    <t>Обучаются 
в группах подготовки 
в наст.вр. (без учета ГДП)</t>
  </si>
  <si>
    <t>Обучаются 
прочие студенты</t>
  </si>
  <si>
    <t>ФПКШ</t>
  </si>
  <si>
    <t>ФПКШ (привед)</t>
  </si>
  <si>
    <t>ФПКОП</t>
  </si>
  <si>
    <t>ФПКОП
(привед)</t>
  </si>
  <si>
    <t>Фактически сложившаяся потребность</t>
  </si>
  <si>
    <t>Фактическая численность на 30.11.23</t>
  </si>
  <si>
    <t>Укомп. 
к факт. потреб.,%</t>
  </si>
  <si>
    <t>РСО</t>
  </si>
  <si>
    <t>студенты прочие</t>
  </si>
  <si>
    <t>прочие временные</t>
  </si>
  <si>
    <t>ИТОГО</t>
  </si>
  <si>
    <t>Плановая ФПКШ</t>
  </si>
  <si>
    <t>Ук.%</t>
  </si>
  <si>
    <t>Оперативная ФПКОП</t>
  </si>
  <si>
    <t>Оперативная (приведенная) ФПКОП</t>
  </si>
  <si>
    <t>Оперативная (приведенная)</t>
  </si>
  <si>
    <t>ЛВЧД-4 (Горький)</t>
  </si>
  <si>
    <t>ЛВЧД Горький-Московский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</si>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</sst>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5" fillId="9" borderId="14" xfId="0" applyNumberFormat="1" applyFont="1" applyFill="1" applyBorder="1" applyAlignment="1">
      <alignment horizontal="center" vertical="center" wrapText="1"/>
    </xf>
    <xf numFmtId="49" fontId="5" fillId="9" borderId="15" xfId="0" applyNumberFormat="1" applyFont="1" applyFill="1" applyBorder="1" applyAlignment="1">
      <alignment horizontal="center" vertical="center" wrapText="1"/>
    </xf>
    <xf numFmtId="49" fontId="5" fillId="10" borderId="14" xfId="0" applyNumberFormat="1" applyFont="1" applyFill="1" applyBorder="1" applyAlignment="1">
      <alignment horizontal="center" vertical="center" wrapText="1"/>
    </xf>
    <xf numFmtId="49" fontId="5" fillId="10" borderId="15" xfId="0" applyNumberFormat="1" applyFont="1" applyFill="1" applyBorder="1" applyAlignment="1">
      <alignment horizontal="center" vertical="center" wrapText="1"/>
    </xf>
    <xf numFmtId="49" fontId="5" fillId="11" borderId="14" xfId="0" applyNumberFormat="1" applyFont="1" applyFill="1" applyBorder="1" applyAlignment="1">
      <alignment horizontal="center" vertical="center" wrapText="1"/>
    </xf>
    <xf numFmtId="49" fontId="5" fillId="11" borderId="8" xfId="0" applyNumberFormat="1" applyFont="1" applyFill="1" applyBorder="1" applyAlignment="1">
      <alignment horizontal="center" vertical="center" wrapText="1"/>
    </xf>
    <xf numFmtId="49" fontId="5" fillId="11" borderId="16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 wrapText="1"/>
    </xf>
    <xf numFmtId="49" fontId="5" fillId="9" borderId="19" xfId="0" applyNumberFormat="1" applyFont="1" applyFill="1" applyBorder="1" applyAlignment="1">
      <alignment horizontal="center" vertical="center" wrapText="1"/>
    </xf>
    <xf numFmtId="49" fontId="5" fillId="10" borderId="20" xfId="0" applyNumberFormat="1" applyFont="1" applyFill="1" applyBorder="1" applyAlignment="1">
      <alignment horizontal="center" vertical="center" wrapText="1"/>
    </xf>
    <xf numFmtId="49" fontId="5" fillId="10" borderId="21" xfId="0" applyNumberFormat="1" applyFont="1" applyFill="1" applyBorder="1" applyAlignment="1">
      <alignment horizontal="center" vertical="center" wrapText="1"/>
    </xf>
    <xf numFmtId="0" fontId="7" fillId="2" borderId="25" xfId="0" applyFont="1" applyFill="1" applyBorder="1"/>
    <xf numFmtId="49" fontId="5" fillId="3" borderId="25" xfId="0" quotePrefix="1" applyNumberFormat="1" applyFont="1" applyFill="1" applyBorder="1" applyAlignment="1">
      <alignment horizontal="left" vertical="center" wrapText="1"/>
    </xf>
    <xf numFmtId="1" fontId="5" fillId="3" borderId="26" xfId="0" quotePrefix="1" applyNumberFormat="1" applyFont="1" applyFill="1" applyBorder="1" applyAlignment="1">
      <alignment horizontal="center" vertical="center" wrapText="1"/>
    </xf>
    <xf numFmtId="1" fontId="5" fillId="3" borderId="27" xfId="0" quotePrefix="1" applyNumberFormat="1" applyFont="1" applyFill="1" applyBorder="1" applyAlignment="1">
      <alignment horizontal="center" vertical="center" wrapText="1"/>
    </xf>
    <xf numFmtId="49" fontId="5" fillId="3" borderId="26" xfId="0" quotePrefix="1" applyNumberFormat="1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49" fontId="5" fillId="3" borderId="27" xfId="0" quotePrefix="1" applyNumberFormat="1" applyFont="1" applyFill="1" applyBorder="1" applyAlignment="1">
      <alignment horizontal="center" vertical="center" wrapText="1"/>
    </xf>
    <xf numFmtId="9" fontId="5" fillId="3" borderId="28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1" fontId="5" fillId="3" borderId="25" xfId="0" quotePrefix="1" applyNumberFormat="1" applyFont="1" applyFill="1" applyBorder="1" applyAlignment="1">
      <alignment horizontal="center" vertical="center" wrapText="1"/>
    </xf>
    <xf numFmtId="9" fontId="5" fillId="3" borderId="30" xfId="0" quotePrefix="1" applyNumberFormat="1" applyFont="1" applyFill="1" applyBorder="1" applyAlignment="1">
      <alignment horizontal="center" vertical="center" wrapText="1"/>
    </xf>
    <xf numFmtId="1" fontId="5" fillId="3" borderId="5" xfId="0" quotePrefix="1" applyNumberFormat="1" applyFont="1" applyFill="1" applyBorder="1" applyAlignment="1">
      <alignment horizontal="center" vertical="center" wrapText="1"/>
    </xf>
    <xf numFmtId="1" fontId="5" fillId="3" borderId="29" xfId="0" applyNumberFormat="1" applyFont="1" applyFill="1" applyBorder="1" applyAlignment="1">
      <alignment horizontal="center" vertical="center" wrapText="1"/>
    </xf>
    <xf numFmtId="9" fontId="5" fillId="3" borderId="31" xfId="0" quotePrefix="1" applyNumberFormat="1" applyFont="1" applyFill="1" applyBorder="1" applyAlignment="1">
      <alignment horizontal="center" vertical="center" wrapText="1"/>
    </xf>
    <xf numFmtId="1" fontId="8" fillId="3" borderId="29" xfId="0" quotePrefix="1" applyNumberFormat="1" applyFont="1" applyFill="1" applyBorder="1" applyAlignment="1">
      <alignment horizontal="center" vertical="center" wrapText="1"/>
    </xf>
    <xf numFmtId="164" fontId="5" fillId="3" borderId="32" xfId="2" quotePrefix="1" applyNumberFormat="1" applyFont="1" applyFill="1" applyBorder="1" applyAlignment="1">
      <alignment horizontal="center" vertical="center" wrapText="1"/>
    </xf>
    <xf numFmtId="1" fontId="5" fillId="3" borderId="29" xfId="2" quotePrefix="1" applyNumberFormat="1" applyFont="1" applyFill="1" applyBorder="1" applyAlignment="1">
      <alignment horizontal="center" vertical="center" wrapText="1"/>
    </xf>
    <xf numFmtId="1" fontId="5" fillId="3" borderId="5" xfId="2" quotePrefix="1" applyNumberFormat="1" applyFont="1" applyFill="1" applyBorder="1" applyAlignment="1">
      <alignment horizontal="center" vertical="center" wrapText="1"/>
    </xf>
    <xf numFmtId="1" fontId="5" fillId="3" borderId="33" xfId="0" quotePrefix="1" applyNumberFormat="1" applyFont="1" applyFill="1" applyBorder="1" applyAlignment="1">
      <alignment horizontal="center" vertical="center" wrapText="1"/>
    </xf>
    <xf numFmtId="0" fontId="5" fillId="0" borderId="29" xfId="2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5" fillId="3" borderId="29" xfId="0" quotePrefix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" fillId="2" borderId="25" xfId="0" applyFont="1" applyFill="1" applyBorder="1"/>
    <xf numFmtId="9" fontId="5" fillId="3" borderId="33" xfId="0" quotePrefix="1" applyNumberFormat="1" applyFont="1" applyFill="1" applyBorder="1" applyAlignment="1">
      <alignment horizontal="center" vertical="center" wrapText="1"/>
    </xf>
    <xf numFmtId="0" fontId="9" fillId="2" borderId="25" xfId="0" applyFont="1" applyFill="1" applyBorder="1"/>
    <xf numFmtId="49" fontId="10" fillId="11" borderId="25" xfId="0" quotePrefix="1" applyNumberFormat="1" applyFont="1" applyFill="1" applyBorder="1" applyAlignment="1">
      <alignment horizontal="left" vertical="center" wrapText="1"/>
    </xf>
    <xf numFmtId="1" fontId="10" fillId="11" borderId="26" xfId="0" quotePrefix="1" applyNumberFormat="1" applyFont="1" applyFill="1" applyBorder="1" applyAlignment="1">
      <alignment horizontal="center" vertical="center" wrapText="1"/>
    </xf>
    <xf numFmtId="1" fontId="10" fillId="11" borderId="27" xfId="0" quotePrefix="1" applyNumberFormat="1" applyFont="1" applyFill="1" applyBorder="1" applyAlignment="1">
      <alignment horizontal="center" vertical="center" wrapText="1"/>
    </xf>
    <xf numFmtId="49" fontId="10" fillId="11" borderId="26" xfId="0" quotePrefix="1" applyNumberFormat="1" applyFont="1" applyFill="1" applyBorder="1" applyAlignment="1">
      <alignment horizontal="center" vertical="center" wrapText="1"/>
    </xf>
    <xf numFmtId="49" fontId="10" fillId="11" borderId="27" xfId="0" quotePrefix="1" applyNumberFormat="1" applyFont="1" applyFill="1" applyBorder="1" applyAlignment="1">
      <alignment horizontal="center" vertical="center" wrapText="1"/>
    </xf>
    <xf numFmtId="9" fontId="10" fillId="11" borderId="28" xfId="0" quotePrefix="1" applyNumberFormat="1" applyFont="1" applyFill="1" applyBorder="1" applyAlignment="1">
      <alignment horizontal="center" vertical="center" wrapText="1"/>
    </xf>
    <xf numFmtId="1" fontId="10" fillId="11" borderId="29" xfId="0" quotePrefix="1" applyNumberFormat="1" applyFont="1" applyFill="1" applyBorder="1" applyAlignment="1">
      <alignment horizontal="center" vertical="center" wrapText="1"/>
    </xf>
    <xf numFmtId="9" fontId="10" fillId="11" borderId="33" xfId="0" quotePrefix="1" applyNumberFormat="1" applyFont="1" applyFill="1" applyBorder="1" applyAlignment="1">
      <alignment horizontal="center" vertical="center" wrapText="1"/>
    </xf>
    <xf numFmtId="1" fontId="11" fillId="11" borderId="29" xfId="0" quotePrefix="1" applyNumberFormat="1" applyFont="1" applyFill="1" applyBorder="1" applyAlignment="1">
      <alignment horizontal="center" vertical="center" wrapText="1"/>
    </xf>
    <xf numFmtId="9" fontId="10" fillId="11" borderId="30" xfId="0" quotePrefix="1" applyNumberFormat="1" applyFont="1" applyFill="1" applyBorder="1" applyAlignment="1">
      <alignment horizontal="center" vertical="center" wrapText="1"/>
    </xf>
    <xf numFmtId="1" fontId="10" fillId="11" borderId="29" xfId="0" applyNumberFormat="1" applyFont="1" applyFill="1" applyBorder="1" applyAlignment="1">
      <alignment horizontal="center" vertical="center" wrapText="1"/>
    </xf>
    <xf numFmtId="1" fontId="10" fillId="11" borderId="25" xfId="2" quotePrefix="1" applyNumberFormat="1" applyFont="1" applyFill="1" applyBorder="1" applyAlignment="1">
      <alignment horizontal="center" vertical="center" wrapText="1"/>
    </xf>
    <xf numFmtId="1" fontId="10" fillId="11" borderId="33" xfId="0" quotePrefix="1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49" fontId="5" fillId="8" borderId="5" xfId="0" applyNumberFormat="1" applyFont="1" applyFill="1" applyBorder="1" applyAlignment="1">
      <alignment horizontal="center" vertical="center" wrapText="1"/>
    </xf>
    <xf numFmtId="49" fontId="5" fillId="8" borderId="1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5" fillId="0" borderId="12" xfId="1" applyFont="1" applyFill="1" applyBorder="1" applyAlignment="1" applyProtection="1">
      <alignment horizontal="center" vertical="center" wrapText="1"/>
    </xf>
    <xf numFmtId="9" fontId="5" fillId="0" borderId="23" xfId="1" applyFont="1" applyFill="1" applyBorder="1" applyAlignment="1" applyProtection="1">
      <alignment horizontal="center" vertical="center" wrapText="1"/>
    </xf>
    <xf numFmtId="9" fontId="5" fillId="0" borderId="5" xfId="1" applyFont="1" applyFill="1" applyBorder="1" applyAlignment="1" applyProtection="1">
      <alignment horizontal="center" vertical="center" wrapText="1"/>
    </xf>
    <xf numFmtId="9" fontId="5" fillId="0" borderId="17" xfId="1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9" fontId="5" fillId="0" borderId="10" xfId="1" applyFont="1" applyFill="1" applyBorder="1" applyAlignment="1" applyProtection="1">
      <alignment horizontal="center" vertical="center" wrapText="1"/>
    </xf>
    <xf numFmtId="9" fontId="5" fillId="0" borderId="22" xfId="1" applyFont="1" applyFill="1" applyBorder="1" applyAlignment="1" applyProtection="1">
      <alignment horizontal="center" vertical="center" wrapText="1"/>
    </xf>
  </cellXfs>
  <cellStyles count="3">
    <cellStyle name="Обычный" xfId="0" builtinId="0"/>
    <cellStyle name="Обычный 2 4" xfId="2" xr:uid="{AE15AF48-2E7B-407F-9FA2-E3E7256878A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D79F-E02E-4364-BFCD-663649965A92}">
  <sheetPr>
    <pageSetUpPr fitToPage="1"/>
  </sheetPr>
  <dimension ref="A1:AS22"/>
  <sheetViews>
    <sheetView tabSelected="1" view="pageBreakPreview" topLeftCell="B1" zoomScale="55" zoomScaleNormal="50" zoomScaleSheetLayoutView="55" workbookViewId="0">
      <pane xSplit="8" ySplit="4" topLeftCell="J5" activePane="bottomRight" state="frozen"/>
      <selection activeCell="B1" sqref="B1"/>
      <selection pane="topRight" activeCell="J1" sqref="J1"/>
      <selection pane="bottomLeft" activeCell="B5" sqref="B5"/>
      <selection pane="bottomRight" activeCell="P5" sqref="P5"/>
    </sheetView>
  </sheetViews>
  <sheetFormatPr defaultColWidth="9.109375" defaultRowHeight="13.8" outlineLevelRow="1" x14ac:dyDescent="0.3"/>
  <cols>
    <col min="1" max="1" width="39" style="59" hidden="1" customWidth="1"/>
    <col min="2" max="2" width="45.6640625" style="64" customWidth="1"/>
    <col min="3" max="3" width="16.88671875" style="65" customWidth="1"/>
    <col min="4" max="4" width="15.109375" style="65" customWidth="1"/>
    <col min="5" max="5" width="18.44140625" style="64" customWidth="1"/>
    <col min="6" max="6" width="15.33203125" style="64" customWidth="1"/>
    <col min="7" max="7" width="16.109375" style="64" customWidth="1"/>
    <col min="8" max="8" width="25.44140625" style="65" customWidth="1"/>
    <col min="9" max="9" width="37.5546875" style="64" customWidth="1"/>
    <col min="10" max="10" width="23.5546875" style="64" customWidth="1"/>
    <col min="11" max="11" width="25.109375" style="64" customWidth="1"/>
    <col min="12" max="12" width="24.44140625" style="64" customWidth="1"/>
    <col min="13" max="17" width="25.6640625" style="64" customWidth="1"/>
    <col min="18" max="18" width="44.21875" style="64" customWidth="1"/>
    <col min="19" max="19" width="33.33203125" style="64" customWidth="1"/>
    <col min="20" max="20" width="23.5546875" style="64" customWidth="1"/>
    <col min="21" max="21" width="32.88671875" style="64" customWidth="1"/>
    <col min="22" max="22" width="34.44140625" style="64" customWidth="1"/>
    <col min="23" max="23" width="23.33203125" style="64" customWidth="1"/>
    <col min="24" max="24" width="23.77734375" style="64" customWidth="1"/>
    <col min="25" max="25" width="27.77734375" style="61" customWidth="1"/>
    <col min="26" max="26" width="25.77734375" style="61" customWidth="1"/>
    <col min="27" max="27" width="21.109375" style="61" customWidth="1"/>
    <col min="28" max="28" width="15.5546875" style="64" customWidth="1"/>
    <col min="29" max="29" width="17.5546875" style="64" customWidth="1"/>
    <col min="30" max="30" width="19.5546875" style="64" customWidth="1"/>
    <col min="31" max="31" width="20" style="64" customWidth="1"/>
    <col min="32" max="32" width="24.5546875" style="61" hidden="1" customWidth="1"/>
    <col min="33" max="33" width="24.33203125" style="61" hidden="1" customWidth="1"/>
    <col min="34" max="34" width="23.109375" style="6" customWidth="1"/>
    <col min="35" max="35" width="1.109375" style="61" hidden="1" customWidth="1"/>
    <col min="36" max="36" width="21.6640625" style="61" customWidth="1"/>
    <col min="37" max="37" width="22.44140625" style="61" customWidth="1"/>
    <col min="38" max="39" width="24" style="61" hidden="1" customWidth="1"/>
    <col min="40" max="40" width="23.5546875" style="61" customWidth="1"/>
    <col min="41" max="41" width="23.44140625" style="64" customWidth="1"/>
    <col min="42" max="42" width="23" style="64" customWidth="1"/>
    <col min="43" max="44" width="21.88671875" style="66" customWidth="1"/>
    <col min="45" max="45" width="22.5546875" style="4" customWidth="1"/>
    <col min="46" max="16384" width="9.109375" style="4"/>
  </cols>
  <sheetData>
    <row r="1" spans="1:45" s="2" customFormat="1" ht="22.5" customHeight="1" x14ac:dyDescent="0.3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</row>
    <row r="2" spans="1:45" s="5" customFormat="1" ht="39.75" customHeight="1" thickBot="1" x14ac:dyDescent="0.35">
      <c r="A2" s="3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4"/>
    </row>
    <row r="3" spans="1:45" s="5" customFormat="1" ht="109.5" customHeight="1" thickBot="1" x14ac:dyDescent="0.35">
      <c r="A3" s="3"/>
      <c r="B3" s="93" t="s">
        <v>1</v>
      </c>
      <c r="C3" s="95" t="s">
        <v>2</v>
      </c>
      <c r="D3" s="96"/>
      <c r="E3" s="96"/>
      <c r="F3" s="96"/>
      <c r="G3" s="96"/>
      <c r="H3" s="96"/>
      <c r="I3" s="96"/>
      <c r="J3" s="97" t="s">
        <v>3</v>
      </c>
      <c r="K3" s="99" t="s">
        <v>4</v>
      </c>
      <c r="L3" s="99" t="s">
        <v>5</v>
      </c>
      <c r="M3" s="99" t="s">
        <v>6</v>
      </c>
      <c r="N3" s="97" t="s">
        <v>7</v>
      </c>
      <c r="O3" s="101"/>
      <c r="P3" s="101"/>
      <c r="Q3" s="102"/>
      <c r="R3" s="103" t="s">
        <v>8</v>
      </c>
      <c r="S3" s="103"/>
      <c r="T3" s="103"/>
      <c r="U3" s="103"/>
      <c r="V3" s="103"/>
      <c r="W3" s="104"/>
      <c r="X3" s="105" t="s">
        <v>9</v>
      </c>
      <c r="Y3" s="84" t="s">
        <v>10</v>
      </c>
      <c r="Z3" s="86" t="s">
        <v>11</v>
      </c>
      <c r="AA3" s="86" t="s">
        <v>12</v>
      </c>
      <c r="AB3" s="88" t="s">
        <v>13</v>
      </c>
      <c r="AC3" s="89"/>
      <c r="AD3" s="89"/>
      <c r="AE3" s="90"/>
      <c r="AF3" s="76" t="s">
        <v>14</v>
      </c>
      <c r="AG3" s="76" t="s">
        <v>15</v>
      </c>
      <c r="AH3" s="76" t="s">
        <v>16</v>
      </c>
      <c r="AI3" s="78" t="s">
        <v>17</v>
      </c>
      <c r="AJ3" s="76" t="s">
        <v>18</v>
      </c>
      <c r="AK3" s="76" t="s">
        <v>19</v>
      </c>
      <c r="AL3" s="80" t="s">
        <v>20</v>
      </c>
      <c r="AM3" s="82" t="s">
        <v>21</v>
      </c>
      <c r="AN3" s="68" t="s">
        <v>22</v>
      </c>
      <c r="AO3" s="68" t="s">
        <v>23</v>
      </c>
      <c r="AP3" s="70" t="s">
        <v>24</v>
      </c>
      <c r="AQ3" s="72" t="s">
        <v>25</v>
      </c>
      <c r="AR3" s="74" t="s">
        <v>26</v>
      </c>
      <c r="AS3" s="74" t="s">
        <v>27</v>
      </c>
    </row>
    <row r="4" spans="1:45" s="2" customFormat="1" ht="114.75" customHeight="1" thickBot="1" x14ac:dyDescent="0.35">
      <c r="A4" s="6"/>
      <c r="B4" s="94"/>
      <c r="C4" s="7" t="s">
        <v>28</v>
      </c>
      <c r="D4" s="8" t="s">
        <v>29</v>
      </c>
      <c r="E4" s="9" t="s">
        <v>30</v>
      </c>
      <c r="F4" s="10" t="s">
        <v>31</v>
      </c>
      <c r="G4" s="11" t="s">
        <v>32</v>
      </c>
      <c r="H4" s="12" t="s">
        <v>33</v>
      </c>
      <c r="I4" s="13" t="s">
        <v>34</v>
      </c>
      <c r="J4" s="98"/>
      <c r="K4" s="100"/>
      <c r="L4" s="100"/>
      <c r="M4" s="100"/>
      <c r="N4" s="14" t="s">
        <v>35</v>
      </c>
      <c r="O4" s="14" t="s">
        <v>36</v>
      </c>
      <c r="P4" s="14" t="s">
        <v>37</v>
      </c>
      <c r="Q4" s="14" t="s">
        <v>38</v>
      </c>
      <c r="R4" s="15" t="s">
        <v>39</v>
      </c>
      <c r="S4" s="16" t="s">
        <v>40</v>
      </c>
      <c r="T4" s="17" t="s">
        <v>41</v>
      </c>
      <c r="U4" s="18" t="s">
        <v>40</v>
      </c>
      <c r="V4" s="17" t="s">
        <v>42</v>
      </c>
      <c r="W4" s="18" t="s">
        <v>40</v>
      </c>
      <c r="X4" s="106"/>
      <c r="Y4" s="85"/>
      <c r="Z4" s="87"/>
      <c r="AA4" s="87"/>
      <c r="AB4" s="17" t="s">
        <v>41</v>
      </c>
      <c r="AC4" s="18" t="s">
        <v>40</v>
      </c>
      <c r="AD4" s="9" t="s">
        <v>43</v>
      </c>
      <c r="AE4" s="10" t="s">
        <v>40</v>
      </c>
      <c r="AF4" s="77"/>
      <c r="AG4" s="77"/>
      <c r="AH4" s="77"/>
      <c r="AI4" s="79"/>
      <c r="AJ4" s="77"/>
      <c r="AK4" s="77"/>
      <c r="AL4" s="81"/>
      <c r="AM4" s="83"/>
      <c r="AN4" s="69"/>
      <c r="AO4" s="69"/>
      <c r="AP4" s="71"/>
      <c r="AQ4" s="73"/>
      <c r="AR4" s="75"/>
      <c r="AS4" s="75"/>
    </row>
    <row r="5" spans="1:45" s="41" customFormat="1" ht="51.75" customHeight="1" outlineLevel="1" thickBot="1" x14ac:dyDescent="0.3">
      <c r="A5" s="19" t="s">
        <v>44</v>
      </c>
      <c r="B5" s="20" t="s">
        <v>45</v>
      </c>
      <c r="C5" s="21">
        <v>801</v>
      </c>
      <c r="D5" s="22">
        <f>C5*167/162.2</f>
        <v>824.70406905055495</v>
      </c>
      <c r="E5" s="23">
        <v>886</v>
      </c>
      <c r="F5" s="22">
        <f>E5*167/162.2</f>
        <v>912.21948212083851</v>
      </c>
      <c r="G5" s="24">
        <v>834</v>
      </c>
      <c r="H5" s="25">
        <v>589</v>
      </c>
      <c r="I5" s="26">
        <f>H5/G5</f>
        <v>0.70623501199040772</v>
      </c>
      <c r="J5" s="27">
        <v>674</v>
      </c>
      <c r="K5" s="27">
        <v>567</v>
      </c>
      <c r="L5" s="28">
        <v>552</v>
      </c>
      <c r="M5" s="28">
        <f>K5-L5</f>
        <v>15</v>
      </c>
      <c r="N5" s="28">
        <v>85</v>
      </c>
      <c r="O5" s="28">
        <v>10</v>
      </c>
      <c r="P5" s="28">
        <v>9</v>
      </c>
      <c r="Q5" s="28">
        <f>SUM(N5+O5+P5)</f>
        <v>104</v>
      </c>
      <c r="R5" s="21">
        <v>580</v>
      </c>
      <c r="S5" s="26">
        <v>18</v>
      </c>
      <c r="T5" s="21">
        <v>696</v>
      </c>
      <c r="U5" s="29">
        <f>J5/T5</f>
        <v>0.9683908045977011</v>
      </c>
      <c r="V5" s="21">
        <f>T5*168/167.6</f>
        <v>697.66109785202866</v>
      </c>
      <c r="W5" s="29">
        <f>J5/V5</f>
        <v>0.96608511220580184</v>
      </c>
      <c r="X5" s="30">
        <f>T5-J5</f>
        <v>22</v>
      </c>
      <c r="Y5" s="31">
        <v>1010</v>
      </c>
      <c r="Z5" s="31">
        <v>857</v>
      </c>
      <c r="AA5" s="29">
        <f>J5/Z5</f>
        <v>0.78646441073512252</v>
      </c>
      <c r="AB5" s="21">
        <v>928.63970588235293</v>
      </c>
      <c r="AC5" s="29">
        <f>J5/AB5</f>
        <v>0.72579278672948255</v>
      </c>
      <c r="AD5" s="30">
        <v>617</v>
      </c>
      <c r="AE5" s="32">
        <f>J5/AD5</f>
        <v>1.0923824959481361</v>
      </c>
      <c r="AF5" s="33">
        <v>803</v>
      </c>
      <c r="AG5" s="29">
        <f>J5/AF5</f>
        <v>0.83935242839352431</v>
      </c>
      <c r="AH5" s="27">
        <v>650</v>
      </c>
      <c r="AI5" s="31">
        <f>Y5-AH5</f>
        <v>360</v>
      </c>
      <c r="AJ5" s="29">
        <f>K5/AH5</f>
        <v>0.87230769230769234</v>
      </c>
      <c r="AK5" s="21">
        <f>AH5-K5</f>
        <v>83</v>
      </c>
      <c r="AL5" s="24">
        <f>AH5-J5</f>
        <v>-24</v>
      </c>
      <c r="AM5" s="34">
        <f>J5/AH5</f>
        <v>1.0369230769230768</v>
      </c>
      <c r="AN5" s="35">
        <v>40</v>
      </c>
      <c r="AO5" s="36">
        <v>13</v>
      </c>
      <c r="AP5" s="37">
        <f>SUM(AO5-AN5)</f>
        <v>-27</v>
      </c>
      <c r="AQ5" s="38">
        <v>15</v>
      </c>
      <c r="AR5" s="39">
        <v>30</v>
      </c>
      <c r="AS5" s="40">
        <v>0</v>
      </c>
    </row>
    <row r="6" spans="1:45" s="41" customFormat="1" ht="30" customHeight="1" outlineLevel="1" thickBot="1" x14ac:dyDescent="0.3">
      <c r="A6" s="42" t="s">
        <v>46</v>
      </c>
      <c r="B6" s="20" t="s">
        <v>47</v>
      </c>
      <c r="C6" s="21">
        <v>351</v>
      </c>
      <c r="D6" s="22">
        <f>C6*167/162.2</f>
        <v>361.38717632552408</v>
      </c>
      <c r="E6" s="23">
        <v>421</v>
      </c>
      <c r="F6" s="22">
        <f>E6*167/162.2</f>
        <v>433.45869297164</v>
      </c>
      <c r="G6" s="24">
        <v>512</v>
      </c>
      <c r="H6" s="25">
        <v>337</v>
      </c>
      <c r="I6" s="26">
        <f>H6/G6</f>
        <v>0.658203125</v>
      </c>
      <c r="J6" s="27">
        <v>424</v>
      </c>
      <c r="K6" s="27">
        <v>334</v>
      </c>
      <c r="L6" s="28">
        <v>321</v>
      </c>
      <c r="M6" s="28">
        <f>K6-L6</f>
        <v>13</v>
      </c>
      <c r="N6" s="28">
        <v>41</v>
      </c>
      <c r="O6" s="28">
        <v>40</v>
      </c>
      <c r="P6" s="28">
        <v>9</v>
      </c>
      <c r="Q6" s="28">
        <f>SUM(N6+O6+P6)</f>
        <v>90</v>
      </c>
      <c r="R6" s="21">
        <v>337</v>
      </c>
      <c r="S6" s="26">
        <v>17</v>
      </c>
      <c r="T6" s="21">
        <v>288</v>
      </c>
      <c r="U6" s="29">
        <f>J6/T6</f>
        <v>1.4722222222222223</v>
      </c>
      <c r="V6" s="21">
        <f>T6*168/167.6</f>
        <v>288.68735083532221</v>
      </c>
      <c r="W6" s="29">
        <f>J6/V6</f>
        <v>1.4687169312169313</v>
      </c>
      <c r="X6" s="30">
        <f>T6-J6</f>
        <v>-136</v>
      </c>
      <c r="Y6" s="31">
        <v>393</v>
      </c>
      <c r="Z6" s="31">
        <v>465</v>
      </c>
      <c r="AA6" s="29">
        <f>J6/Z6</f>
        <v>0.91182795698924735</v>
      </c>
      <c r="AB6" s="21">
        <v>445.84558823529414</v>
      </c>
      <c r="AC6" s="29">
        <f>J6/AB6</f>
        <v>0.95100189659437617</v>
      </c>
      <c r="AD6" s="27">
        <v>347</v>
      </c>
      <c r="AE6" s="43">
        <f>J6/AD6</f>
        <v>1.2219020172910662</v>
      </c>
      <c r="AF6" s="33">
        <v>377</v>
      </c>
      <c r="AG6" s="29">
        <f>J6/AF6</f>
        <v>1.1246684350132625</v>
      </c>
      <c r="AH6" s="27">
        <v>354</v>
      </c>
      <c r="AI6" s="31">
        <f>Y6-AH6</f>
        <v>39</v>
      </c>
      <c r="AJ6" s="29">
        <f>K6/AH6</f>
        <v>0.94350282485875703</v>
      </c>
      <c r="AK6" s="21">
        <f>AH6-K6</f>
        <v>20</v>
      </c>
      <c r="AL6" s="24">
        <f>AH6-J6</f>
        <v>-70</v>
      </c>
      <c r="AM6" s="34">
        <f>J6/AH6</f>
        <v>1.1977401129943503</v>
      </c>
      <c r="AN6" s="35">
        <v>12</v>
      </c>
      <c r="AO6" s="35">
        <v>4</v>
      </c>
      <c r="AP6" s="37">
        <f>SUM(AO6-AN6)</f>
        <v>-8</v>
      </c>
      <c r="AQ6" s="38">
        <v>6</v>
      </c>
      <c r="AR6" s="39">
        <v>13</v>
      </c>
      <c r="AS6" s="40">
        <v>0</v>
      </c>
    </row>
    <row r="7" spans="1:45" s="41" customFormat="1" ht="30" customHeight="1" outlineLevel="1" thickBot="1" x14ac:dyDescent="0.3">
      <c r="A7" s="42" t="s">
        <v>48</v>
      </c>
      <c r="B7" s="20" t="s">
        <v>49</v>
      </c>
      <c r="C7" s="21">
        <v>657</v>
      </c>
      <c r="D7" s="22">
        <f>C7*167/162.2</f>
        <v>676.44266337854503</v>
      </c>
      <c r="E7" s="23">
        <v>806</v>
      </c>
      <c r="F7" s="22">
        <f>E7*167/162.2</f>
        <v>829.85203452527753</v>
      </c>
      <c r="G7" s="24">
        <v>777</v>
      </c>
      <c r="H7" s="25">
        <v>691</v>
      </c>
      <c r="I7" s="26">
        <f>H7/G7</f>
        <v>0.88931788931788935</v>
      </c>
      <c r="J7" s="27">
        <v>834</v>
      </c>
      <c r="K7" s="27">
        <v>684</v>
      </c>
      <c r="L7" s="28">
        <v>617</v>
      </c>
      <c r="M7" s="28">
        <f>K7-L7</f>
        <v>67</v>
      </c>
      <c r="N7" s="28">
        <v>120</v>
      </c>
      <c r="O7" s="28">
        <v>19</v>
      </c>
      <c r="P7" s="28">
        <v>11</v>
      </c>
      <c r="Q7" s="28">
        <f>SUM(N7+O7+P7)</f>
        <v>150</v>
      </c>
      <c r="R7" s="21">
        <v>626</v>
      </c>
      <c r="S7" s="26">
        <v>22</v>
      </c>
      <c r="T7" s="21">
        <v>752</v>
      </c>
      <c r="U7" s="29">
        <f>J7/T7</f>
        <v>1.1090425531914894</v>
      </c>
      <c r="V7" s="21">
        <f>T7*168/167.6</f>
        <v>753.79474940334137</v>
      </c>
      <c r="W7" s="29">
        <f>J7/V7</f>
        <v>1.1064019756838905</v>
      </c>
      <c r="X7" s="30">
        <f>T7-J7</f>
        <v>-82</v>
      </c>
      <c r="Y7" s="31">
        <v>999</v>
      </c>
      <c r="Z7" s="31">
        <v>1259</v>
      </c>
      <c r="AA7" s="29">
        <f>J7/Z7</f>
        <v>0.66243050039714058</v>
      </c>
      <c r="AB7" s="21">
        <v>1082.5919117647059</v>
      </c>
      <c r="AC7" s="29">
        <f>J7/AB7</f>
        <v>0.77037338902755848</v>
      </c>
      <c r="AD7" s="27">
        <v>1003</v>
      </c>
      <c r="AE7" s="43">
        <f>J7/AD7</f>
        <v>0.83150548354935194</v>
      </c>
      <c r="AF7" s="33">
        <v>1098</v>
      </c>
      <c r="AG7" s="29">
        <f>J7/AF7</f>
        <v>0.7595628415300546</v>
      </c>
      <c r="AH7" s="27">
        <v>843</v>
      </c>
      <c r="AI7" s="31">
        <f>Y7-AH7</f>
        <v>156</v>
      </c>
      <c r="AJ7" s="29">
        <f>K7/AH7</f>
        <v>0.81138790035587194</v>
      </c>
      <c r="AK7" s="21">
        <f>AH7-K7</f>
        <v>159</v>
      </c>
      <c r="AL7" s="24">
        <f>AH7-J7</f>
        <v>9</v>
      </c>
      <c r="AM7" s="34">
        <f>J7/AH7</f>
        <v>0.98932384341637014</v>
      </c>
      <c r="AN7" s="35">
        <v>35</v>
      </c>
      <c r="AO7" s="35">
        <v>7</v>
      </c>
      <c r="AP7" s="37">
        <f>SUM(AO7-AN7)</f>
        <v>-28</v>
      </c>
      <c r="AQ7" s="38">
        <v>31</v>
      </c>
      <c r="AR7" s="39">
        <v>48</v>
      </c>
      <c r="AS7" s="40">
        <v>0</v>
      </c>
    </row>
    <row r="8" spans="1:45" s="41" customFormat="1" ht="30" customHeight="1" outlineLevel="1" x14ac:dyDescent="0.25">
      <c r="A8" s="42" t="s">
        <v>50</v>
      </c>
      <c r="B8" s="20" t="s">
        <v>51</v>
      </c>
      <c r="C8" s="21">
        <v>294</v>
      </c>
      <c r="D8" s="22">
        <f>C8*167/162.2</f>
        <v>302.70036991368681</v>
      </c>
      <c r="E8" s="23">
        <v>369</v>
      </c>
      <c r="F8" s="22">
        <f>E8*167/162.2</f>
        <v>379.91985203452532</v>
      </c>
      <c r="G8" s="24">
        <v>404</v>
      </c>
      <c r="H8" s="25">
        <v>370</v>
      </c>
      <c r="I8" s="26">
        <f>H8/G8</f>
        <v>0.91584158415841588</v>
      </c>
      <c r="J8" s="27">
        <v>612</v>
      </c>
      <c r="K8" s="27">
        <v>406</v>
      </c>
      <c r="L8" s="28">
        <v>385</v>
      </c>
      <c r="M8" s="28">
        <f>K8-L8</f>
        <v>21</v>
      </c>
      <c r="N8" s="28">
        <v>168</v>
      </c>
      <c r="O8" s="28">
        <v>37</v>
      </c>
      <c r="P8" s="28">
        <v>1</v>
      </c>
      <c r="Q8" s="28">
        <f>SUM(N8+O8+P8)</f>
        <v>206</v>
      </c>
      <c r="R8" s="21">
        <v>369</v>
      </c>
      <c r="S8" s="26">
        <v>0</v>
      </c>
      <c r="T8" s="21">
        <v>317</v>
      </c>
      <c r="U8" s="29">
        <f>J8/T8</f>
        <v>1.9305993690851735</v>
      </c>
      <c r="V8" s="21">
        <f>T8*168/167.6</f>
        <v>317.75656324582337</v>
      </c>
      <c r="W8" s="29">
        <f>J8/V8</f>
        <v>1.9260027039206851</v>
      </c>
      <c r="X8" s="30">
        <f>T8-J8</f>
        <v>-295</v>
      </c>
      <c r="Y8" s="31">
        <v>393</v>
      </c>
      <c r="Z8" s="31">
        <v>529</v>
      </c>
      <c r="AA8" s="29">
        <f>J8/Z8</f>
        <v>1.1568998109640831</v>
      </c>
      <c r="AB8" s="21">
        <v>562.84926470588232</v>
      </c>
      <c r="AC8" s="29">
        <f>J8/AB8</f>
        <v>1.0873248636467554</v>
      </c>
      <c r="AD8" s="27">
        <v>759</v>
      </c>
      <c r="AE8" s="43">
        <f>J8/AD8</f>
        <v>0.80632411067193677</v>
      </c>
      <c r="AF8" s="33">
        <v>610</v>
      </c>
      <c r="AG8" s="29">
        <f>J8/AF8</f>
        <v>1.0032786885245901</v>
      </c>
      <c r="AH8" s="27">
        <v>494</v>
      </c>
      <c r="AI8" s="31">
        <f>Y8-AH8</f>
        <v>-101</v>
      </c>
      <c r="AJ8" s="29">
        <f>K8/AH8</f>
        <v>0.82186234817813764</v>
      </c>
      <c r="AK8" s="21">
        <f>AH8-K8</f>
        <v>88</v>
      </c>
      <c r="AL8" s="24">
        <f>AH8-J8</f>
        <v>-118</v>
      </c>
      <c r="AM8" s="34">
        <f>J8/AH8</f>
        <v>1.2388663967611335</v>
      </c>
      <c r="AN8" s="35">
        <v>15</v>
      </c>
      <c r="AO8" s="35">
        <v>12</v>
      </c>
      <c r="AP8" s="37">
        <f>SUM(AO8-AN8)</f>
        <v>-3</v>
      </c>
      <c r="AQ8" s="38">
        <v>15</v>
      </c>
      <c r="AR8" s="39">
        <v>11</v>
      </c>
      <c r="AS8" s="40">
        <v>0</v>
      </c>
    </row>
    <row r="9" spans="1:45" s="58" customFormat="1" ht="30" customHeight="1" x14ac:dyDescent="0.25">
      <c r="A9" s="44" t="s">
        <v>52</v>
      </c>
      <c r="B9" s="45" t="s">
        <v>53</v>
      </c>
      <c r="C9" s="46">
        <v>2103</v>
      </c>
      <c r="D9" s="47">
        <f>C9*167/162.2</f>
        <v>2165.2342786683107</v>
      </c>
      <c r="E9" s="48">
        <v>2482</v>
      </c>
      <c r="F9" s="47">
        <f>E9*167/162.2</f>
        <v>2555.4500616522814</v>
      </c>
      <c r="G9" s="46">
        <f>SUM(G5:G8)</f>
        <v>2527</v>
      </c>
      <c r="H9" s="49">
        <v>1987</v>
      </c>
      <c r="I9" s="50">
        <f>H9/G9</f>
        <v>0.78630787495053422</v>
      </c>
      <c r="J9" s="51">
        <f>SUM(J5+J6+J7+J8)</f>
        <v>2544</v>
      </c>
      <c r="K9" s="51">
        <f>SUM(K5+K6+K7+K8)</f>
        <v>1991</v>
      </c>
      <c r="L9" s="51">
        <f t="shared" ref="L9:AD9" si="0">SUM(L5+L6+L7+L8)</f>
        <v>1875</v>
      </c>
      <c r="M9" s="51">
        <f t="shared" si="0"/>
        <v>116</v>
      </c>
      <c r="N9" s="51">
        <f>SUM(N5+N6+N7+N8)</f>
        <v>414</v>
      </c>
      <c r="O9" s="51">
        <f>SUM(O5+O6+O7+O8)</f>
        <v>106</v>
      </c>
      <c r="P9" s="51">
        <f>SUM(P5+P6+P7+P8)</f>
        <v>30</v>
      </c>
      <c r="Q9" s="51">
        <f>SUM(Q5+Q6+Q7+Q8)</f>
        <v>550</v>
      </c>
      <c r="R9" s="51">
        <f t="shared" si="0"/>
        <v>1912</v>
      </c>
      <c r="S9" s="51">
        <f t="shared" si="0"/>
        <v>57</v>
      </c>
      <c r="T9" s="51">
        <f t="shared" si="0"/>
        <v>2053</v>
      </c>
      <c r="U9" s="51">
        <f t="shared" si="0"/>
        <v>5.4802549490965866</v>
      </c>
      <c r="V9" s="51">
        <f t="shared" si="0"/>
        <v>2057.8997613365154</v>
      </c>
      <c r="W9" s="51">
        <f t="shared" si="0"/>
        <v>5.4672067230273091</v>
      </c>
      <c r="X9" s="51">
        <f t="shared" si="0"/>
        <v>-491</v>
      </c>
      <c r="Y9" s="51">
        <f t="shared" si="0"/>
        <v>2795</v>
      </c>
      <c r="Z9" s="51">
        <f t="shared" si="0"/>
        <v>3110</v>
      </c>
      <c r="AA9" s="51">
        <f t="shared" si="0"/>
        <v>3.5176226790855938</v>
      </c>
      <c r="AB9" s="51">
        <f t="shared" si="0"/>
        <v>3019.9264705882356</v>
      </c>
      <c r="AC9" s="51">
        <f t="shared" si="0"/>
        <v>3.5344929359981725</v>
      </c>
      <c r="AD9" s="51">
        <f t="shared" si="0"/>
        <v>2726</v>
      </c>
      <c r="AE9" s="52">
        <f>J9/AD9</f>
        <v>0.93323550990462212</v>
      </c>
      <c r="AF9" s="53">
        <f>SUM(AF5:AF8)</f>
        <v>2888</v>
      </c>
      <c r="AG9" s="54">
        <f>J9/AF9</f>
        <v>0.88088642659279781</v>
      </c>
      <c r="AH9" s="51">
        <v>2341</v>
      </c>
      <c r="AI9" s="55">
        <f>Y9-AH9</f>
        <v>454</v>
      </c>
      <c r="AJ9" s="54">
        <f>K9/AH9</f>
        <v>0.85049124305852197</v>
      </c>
      <c r="AK9" s="56">
        <f>AH9-K9</f>
        <v>350</v>
      </c>
      <c r="AL9" s="56">
        <f>AI9-L9</f>
        <v>-1421</v>
      </c>
      <c r="AM9" s="56">
        <f>AJ9-M9</f>
        <v>-115.14950875694147</v>
      </c>
      <c r="AN9" s="51">
        <f>SUM(AN5+AN6+AN7+AN8)</f>
        <v>102</v>
      </c>
      <c r="AO9" s="51">
        <f>SUM(AO5+AO6+AO7+AO8)</f>
        <v>36</v>
      </c>
      <c r="AP9" s="57">
        <f>SUM(AP5+AP6+AP7+AP8)</f>
        <v>-66</v>
      </c>
      <c r="AQ9" s="51">
        <f>SUM(AQ5:AQ8)</f>
        <v>67</v>
      </c>
      <c r="AR9" s="51">
        <f>SUM(AR5+AR6+AR7+AR8)</f>
        <v>102</v>
      </c>
      <c r="AS9" s="51">
        <f>SUM(AS5+AS6+AS7+AS8)</f>
        <v>0</v>
      </c>
    </row>
    <row r="10" spans="1:45" x14ac:dyDescent="0.3"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O10" s="61"/>
      <c r="AP10" s="61"/>
      <c r="AQ10" s="62"/>
      <c r="AR10" s="62"/>
    </row>
    <row r="11" spans="1:45" x14ac:dyDescent="0.3"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O11" s="61"/>
      <c r="AP11" s="61"/>
      <c r="AQ11" s="62"/>
      <c r="AR11" s="62"/>
    </row>
    <row r="12" spans="1:45" x14ac:dyDescent="0.3"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O12" s="61"/>
      <c r="AP12" s="61"/>
      <c r="AQ12" s="62"/>
      <c r="AR12" s="62"/>
    </row>
    <row r="13" spans="1:45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O13" s="61"/>
      <c r="AP13" s="61"/>
      <c r="AQ13" s="62"/>
      <c r="AR13" s="62"/>
    </row>
    <row r="14" spans="1:45" x14ac:dyDescent="0.3"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O14" s="61"/>
      <c r="AP14" s="61"/>
      <c r="AQ14" s="62"/>
      <c r="AR14" s="62"/>
    </row>
    <row r="15" spans="1:45" x14ac:dyDescent="0.3"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O15" s="61"/>
      <c r="AP15" s="61"/>
      <c r="AQ15" s="62"/>
      <c r="AR15" s="62"/>
    </row>
    <row r="16" spans="1:45" x14ac:dyDescent="0.3"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O16" s="61"/>
      <c r="AP16" s="61"/>
      <c r="AQ16" s="62"/>
      <c r="AR16" s="62"/>
    </row>
    <row r="17" spans="1:44" x14ac:dyDescent="0.3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O17" s="61"/>
      <c r="AP17" s="61"/>
      <c r="AQ17" s="62"/>
      <c r="AR17" s="62"/>
    </row>
    <row r="18" spans="1:44" s="63" customFormat="1" x14ac:dyDescent="0.3">
      <c r="A18" s="5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1"/>
      <c r="AO18" s="61"/>
      <c r="AP18" s="61"/>
      <c r="AQ18" s="62"/>
      <c r="AR18" s="62"/>
    </row>
    <row r="19" spans="1:44" s="63" customFormat="1" x14ac:dyDescent="0.3">
      <c r="A19" s="59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1"/>
      <c r="AO19" s="61"/>
      <c r="AP19" s="61"/>
      <c r="AQ19" s="62"/>
      <c r="AR19" s="62"/>
    </row>
    <row r="20" spans="1:44" s="63" customFormat="1" x14ac:dyDescent="0.3">
      <c r="A20" s="59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1"/>
      <c r="AO20" s="61"/>
      <c r="AP20" s="61"/>
      <c r="AQ20" s="62"/>
      <c r="AR20" s="62"/>
    </row>
    <row r="21" spans="1:44" s="63" customFormat="1" x14ac:dyDescent="0.3">
      <c r="A21" s="59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1"/>
      <c r="AO21" s="61"/>
      <c r="AP21" s="61"/>
      <c r="AQ21" s="62"/>
      <c r="AR21" s="62"/>
    </row>
    <row r="22" spans="1:44" s="63" customFormat="1" x14ac:dyDescent="0.3">
      <c r="A22" s="59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1"/>
      <c r="AO22" s="61"/>
      <c r="AP22" s="61"/>
      <c r="AQ22" s="62"/>
      <c r="AR22" s="62"/>
    </row>
  </sheetData>
  <mergeCells count="29">
    <mergeCell ref="B1:AR2"/>
    <mergeCell ref="B3:B4"/>
    <mergeCell ref="C3:I3"/>
    <mergeCell ref="J3:J4"/>
    <mergeCell ref="K3:K4"/>
    <mergeCell ref="L3:L4"/>
    <mergeCell ref="M3:M4"/>
    <mergeCell ref="N3:Q3"/>
    <mergeCell ref="R3:W3"/>
    <mergeCell ref="X3:X4"/>
    <mergeCell ref="AR3:AR4"/>
    <mergeCell ref="AS3:AS4"/>
    <mergeCell ref="AH3:AH4"/>
    <mergeCell ref="AI3:AI4"/>
    <mergeCell ref="AJ3:AJ4"/>
    <mergeCell ref="AK3:AK4"/>
    <mergeCell ref="AL3:AL4"/>
    <mergeCell ref="AM3:AM4"/>
    <mergeCell ref="B10:Y22"/>
    <mergeCell ref="AN3:AN4"/>
    <mergeCell ref="AO3:AO4"/>
    <mergeCell ref="AP3:AP4"/>
    <mergeCell ref="AQ3:AQ4"/>
    <mergeCell ref="Y3:Y4"/>
    <mergeCell ref="Z3:Z4"/>
    <mergeCell ref="AA3:AA4"/>
    <mergeCell ref="AB3:AE3"/>
    <mergeCell ref="AF3:AF4"/>
    <mergeCell ref="AG3:AG4"/>
  </mergeCells>
  <pageMargins left="0" right="0" top="0" bottom="0" header="0" footer="0"/>
  <pageSetup paperSize="9" scale="1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ППВ</vt:lpstr>
      <vt:lpstr>ППВ!Заголовки_для_печати</vt:lpstr>
      <vt:lpstr>ППВ!Область_печати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2025-12-26T00:27:34Z</dcterms:created>
  <dcterms:modified xsi:type="dcterms:W3CDTF">2025-12-26T14:10:49Z</dcterms:modified>
</cp:coreProperties>
</file>