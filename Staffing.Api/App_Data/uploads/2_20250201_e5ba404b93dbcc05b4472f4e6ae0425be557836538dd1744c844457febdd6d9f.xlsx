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Таблицы\"/>
    </mc:Choice>
  </mc:AlternateContent>
  <xr:revisionPtr revIDLastSave="0" documentId="13_ncr:1_{8C3A0136-BAE2-4823-92D2-265C33C23D64}" xr6:coauthVersionLast="45" xr6:coauthVersionMax="45" xr10:uidLastSave="{00000000-0000-0000-0000-000000000000}"/>
  <bookViews>
    <workbookView xWindow="-108" yWindow="-108" windowWidth="23256" windowHeight="12456" xr2:uid="{0BC75B5D-F9FC-4CCF-888B-5D6361236CED}"/>
  </bookViews>
  <sheets>
    <sheet name="ЛНП" sheetId="1" r:id="rId1"/>
  </sheets>
  <definedNames>
    <definedName name="_xlnm.Print_Area" localSheetId="0">ЛНП!$A$1:$AN$16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10" i="1" l="1"/>
  <c r="AK10" i="1"/>
  <c r="AH10" i="1"/>
  <c r="AG10" i="1"/>
  <c r="AF10" i="1"/>
  <c r="AE10" i="1"/>
  <c r="AD10" i="1"/>
  <c r="AC10" i="1"/>
  <c r="AB10" i="1"/>
  <c r="Z10" i="1"/>
  <c r="Y10" i="1"/>
  <c r="X10" i="1"/>
  <c r="V10" i="1"/>
  <c r="O10" i="1"/>
  <c r="S10" i="1" s="1"/>
  <c r="L10" i="1"/>
  <c r="AA10" i="1" s="1"/>
  <c r="K10" i="1"/>
  <c r="J10" i="1"/>
  <c r="G10" i="1"/>
  <c r="I10" i="1" s="1"/>
  <c r="F10" i="1"/>
  <c r="D10" i="1"/>
  <c r="AI9" i="1"/>
  <c r="AM9" i="1" s="1"/>
  <c r="AN9" i="1" s="1"/>
  <c r="AC9" i="1"/>
  <c r="AA9" i="1"/>
  <c r="X9" i="1"/>
  <c r="V9" i="1"/>
  <c r="S9" i="1"/>
  <c r="Q9" i="1"/>
  <c r="R9" i="1" s="1"/>
  <c r="P9" i="1"/>
  <c r="L9" i="1"/>
  <c r="I9" i="1"/>
  <c r="F9" i="1"/>
  <c r="D9" i="1"/>
  <c r="AC8" i="1"/>
  <c r="X8" i="1"/>
  <c r="V8" i="1"/>
  <c r="S8" i="1"/>
  <c r="Q8" i="1"/>
  <c r="R8" i="1" s="1"/>
  <c r="P8" i="1"/>
  <c r="L8" i="1"/>
  <c r="AI8" i="1" s="1"/>
  <c r="I8" i="1"/>
  <c r="F8" i="1"/>
  <c r="D8" i="1"/>
  <c r="AI7" i="1"/>
  <c r="AM7" i="1" s="1"/>
  <c r="AN7" i="1" s="1"/>
  <c r="AC7" i="1"/>
  <c r="AA7" i="1"/>
  <c r="X7" i="1"/>
  <c r="V7" i="1"/>
  <c r="S7" i="1"/>
  <c r="R7" i="1"/>
  <c r="Q7" i="1"/>
  <c r="P7" i="1"/>
  <c r="L7" i="1"/>
  <c r="I7" i="1"/>
  <c r="F7" i="1"/>
  <c r="D7" i="1"/>
  <c r="AI6" i="1"/>
  <c r="AI10" i="1" s="1"/>
  <c r="AJ10" i="1" s="1"/>
  <c r="AC6" i="1"/>
  <c r="AA6" i="1"/>
  <c r="X6" i="1"/>
  <c r="V6" i="1"/>
  <c r="S6" i="1"/>
  <c r="Q6" i="1"/>
  <c r="R6" i="1" s="1"/>
  <c r="P6" i="1"/>
  <c r="L6" i="1"/>
  <c r="I6" i="1"/>
  <c r="F6" i="1"/>
  <c r="D6" i="1"/>
  <c r="AJ8" i="1" l="1"/>
  <c r="AM8" i="1"/>
  <c r="AN8" i="1" s="1"/>
  <c r="AJ9" i="1"/>
  <c r="Q10" i="1"/>
  <c r="R10" i="1" s="1"/>
  <c r="AJ7" i="1"/>
  <c r="AA8" i="1"/>
  <c r="P10" i="1"/>
  <c r="AJ6" i="1"/>
  <c r="AM6" i="1"/>
  <c r="AM10" i="1" l="1"/>
  <c r="AN10" i="1" s="1"/>
  <c r="AN6" i="1"/>
</calcChain>
</file>

<file path=xl/sharedStrings.xml><?xml version="1.0" encoding="utf-8"?>
<sst xmlns="http://schemas.openxmlformats.org/spreadsheetml/2006/main" count="55" uniqueCount="48">
  <si>
    <t>Сведения об укомплектованности начальников пассажирских поездов</t>
  </si>
  <si>
    <t>Филиалы/
СП филиалов</t>
  </si>
  <si>
    <t>Потребность ноября</t>
  </si>
  <si>
    <t>Списочная численность на 14.09.2025</t>
  </si>
  <si>
    <t>и.о.</t>
  </si>
  <si>
    <t>Списочная численность с учетом и.о. на 14.09.2025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</si>
  <si>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</si>
  <si>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</si>
  <si>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</si>
  <si>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</si>
  <si>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</si>
  <si>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штатная численность с 01.05.2025</t>
  </si>
  <si>
    <t>Штатное расписание с врем.</t>
  </si>
  <si>
    <t xml:space="preserve">% укомпл. 
Факт.ВСЕГО к штатному расписанию с врем.   </t>
  </si>
  <si>
    <t>состоят в резерве (ранее обученны) без учета и.о.</t>
  </si>
  <si>
    <t>Разница между штатным расписанием 
и заданием</t>
  </si>
  <si>
    <t>обучаются с 8 сентября 2025 года</t>
  </si>
  <si>
    <t xml:space="preserve">Ожидаемое восполнение к 1 июля </t>
  </si>
  <si>
    <t>Ожидаемый факт к 1 июля</t>
  </si>
  <si>
    <t>Ожидаемый %т к 1 июля</t>
  </si>
  <si>
    <t>Ожидаемое восполнение к 31 декабря</t>
  </si>
  <si>
    <t>Ожидаемый факт к 30 сентября</t>
  </si>
  <si>
    <t>Ожидаемый %т к 31 августа</t>
  </si>
  <si>
    <t>ФПКШ</t>
  </si>
  <si>
    <t>ФПКШ (привед)</t>
  </si>
  <si>
    <t>ФПКОП</t>
  </si>
  <si>
    <t>ФПКОП
(привед)</t>
  </si>
  <si>
    <t>Фактически сложившаяся потребность</t>
  </si>
  <si>
    <t>Фактическая численность на 30.11.23</t>
  </si>
  <si>
    <t>Укомп. 
к факт. потреб.,%</t>
  </si>
  <si>
    <t>Плановая ФПКШ</t>
  </si>
  <si>
    <t>Ук.%</t>
  </si>
  <si>
    <t>Оперативная ФПКОП</t>
  </si>
  <si>
    <t>Оперативная (приведенная) ФПКОП</t>
  </si>
  <si>
    <t>штат</t>
  </si>
  <si>
    <t>в т.ч. временно на лето</t>
  </si>
  <si>
    <t>в постоянный штат</t>
  </si>
  <si>
    <t>временно</t>
  </si>
  <si>
    <t>ЛВЧД-4 (Горький)</t>
  </si>
  <si>
    <t>ЛВЧД Горький-Московский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</si>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</sst>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35">
    <xf numFmtId="0" fontId="0" fillId="0" borderId="0" xfId="0"/>
    <xf numFmtId="0" fontId="2" fillId="2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9" fontId="5" fillId="0" borderId="2" xfId="1" applyFont="1" applyFill="1" applyBorder="1" applyAlignment="1" applyProtection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0" borderId="11" xfId="0" applyNumberFormat="1" applyFont="1" applyBorder="1" applyAlignment="1">
      <alignment horizontal="center" vertical="center" wrapText="1"/>
    </xf>
    <xf numFmtId="49" fontId="5" fillId="8" borderId="12" xfId="0" applyNumberFormat="1" applyFont="1" applyFill="1" applyBorder="1" applyAlignment="1">
      <alignment horizontal="center" vertical="center" wrapText="1"/>
    </xf>
    <xf numFmtId="49" fontId="5" fillId="8" borderId="13" xfId="0" applyNumberFormat="1" applyFont="1" applyFill="1" applyBorder="1" applyAlignment="1">
      <alignment horizontal="center" vertical="center" wrapText="1"/>
    </xf>
    <xf numFmtId="49" fontId="5" fillId="9" borderId="12" xfId="0" applyNumberFormat="1" applyFont="1" applyFill="1" applyBorder="1" applyAlignment="1">
      <alignment horizontal="center" vertical="center" wrapText="1"/>
    </xf>
    <xf numFmtId="49" fontId="5" fillId="9" borderId="13" xfId="0" applyNumberFormat="1" applyFont="1" applyFill="1" applyBorder="1" applyAlignment="1">
      <alignment horizontal="center" vertical="center" wrapText="1"/>
    </xf>
    <xf numFmtId="49" fontId="5" fillId="10" borderId="12" xfId="0" applyNumberFormat="1" applyFont="1" applyFill="1" applyBorder="1" applyAlignment="1">
      <alignment horizontal="center" vertical="center" wrapText="1"/>
    </xf>
    <xf numFmtId="49" fontId="5" fillId="10" borderId="5" xfId="0" applyNumberFormat="1" applyFont="1" applyFill="1" applyBorder="1" applyAlignment="1">
      <alignment horizontal="center" vertical="center" wrapText="1"/>
    </xf>
    <xf numFmtId="49" fontId="5" fillId="10" borderId="14" xfId="0" applyNumberFormat="1" applyFont="1" applyFill="1" applyBorder="1" applyAlignment="1">
      <alignment horizontal="center" vertical="center" wrapText="1"/>
    </xf>
    <xf numFmtId="49" fontId="5" fillId="6" borderId="11" xfId="0" applyNumberFormat="1" applyFont="1" applyFill="1" applyBorder="1" applyAlignment="1">
      <alignment horizontal="center" vertical="center" wrapText="1"/>
    </xf>
    <xf numFmtId="49" fontId="5" fillId="8" borderId="15" xfId="0" applyNumberFormat="1" applyFont="1" applyFill="1" applyBorder="1" applyAlignment="1">
      <alignment horizontal="center" vertical="center" wrapText="1"/>
    </xf>
    <xf numFmtId="49" fontId="5" fillId="8" borderId="16" xfId="0" applyNumberFormat="1" applyFont="1" applyFill="1" applyBorder="1" applyAlignment="1">
      <alignment horizontal="center" vertical="center" wrapText="1"/>
    </xf>
    <xf numFmtId="49" fontId="5" fillId="9" borderId="17" xfId="0" applyNumberFormat="1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 wrapText="1"/>
    </xf>
    <xf numFmtId="9" fontId="5" fillId="0" borderId="19" xfId="1" applyFont="1" applyFill="1" applyBorder="1" applyAlignment="1" applyProtection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49" fontId="5" fillId="9" borderId="2" xfId="0" applyNumberFormat="1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5" fillId="8" borderId="24" xfId="0" applyNumberFormat="1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5" fillId="9" borderId="24" xfId="0" applyNumberFormat="1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49" fontId="5" fillId="10" borderId="24" xfId="0" applyNumberFormat="1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 wrapText="1"/>
    </xf>
    <xf numFmtId="49" fontId="5" fillId="10" borderId="25" xfId="0" applyNumberFormat="1" applyFont="1" applyFill="1" applyBorder="1" applyAlignment="1">
      <alignment horizontal="center" vertical="center" wrapText="1"/>
    </xf>
    <xf numFmtId="49" fontId="5" fillId="8" borderId="26" xfId="0" applyNumberFormat="1" applyFont="1" applyFill="1" applyBorder="1" applyAlignment="1">
      <alignment horizontal="center" vertical="center" wrapText="1"/>
    </xf>
    <xf numFmtId="49" fontId="5" fillId="8" borderId="25" xfId="0" applyNumberFormat="1" applyFont="1" applyFill="1" applyBorder="1" applyAlignment="1">
      <alignment horizontal="center" vertical="center" wrapText="1"/>
    </xf>
    <xf numFmtId="49" fontId="5" fillId="9" borderId="27" xfId="0" applyNumberFormat="1" applyFont="1" applyFill="1" applyBorder="1" applyAlignment="1">
      <alignment horizontal="center" vertical="center" wrapText="1"/>
    </xf>
    <xf numFmtId="9" fontId="5" fillId="0" borderId="19" xfId="1" applyFont="1" applyFill="1" applyBorder="1" applyAlignment="1" applyProtection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2" borderId="29" xfId="0" applyFont="1" applyFill="1" applyBorder="1"/>
    <xf numFmtId="49" fontId="5" fillId="3" borderId="30" xfId="0" quotePrefix="1" applyNumberFormat="1" applyFont="1" applyFill="1" applyBorder="1" applyAlignment="1">
      <alignment horizontal="left" vertical="center" wrapText="1"/>
    </xf>
    <xf numFmtId="1" fontId="5" fillId="3" borderId="31" xfId="0" quotePrefix="1" applyNumberFormat="1" applyFont="1" applyFill="1" applyBorder="1" applyAlignment="1">
      <alignment horizontal="center" vertical="center" wrapText="1"/>
    </xf>
    <xf numFmtId="1" fontId="5" fillId="3" borderId="32" xfId="0" quotePrefix="1" applyNumberFormat="1" applyFont="1" applyFill="1" applyBorder="1" applyAlignment="1">
      <alignment horizontal="center" vertical="center" wrapText="1"/>
    </xf>
    <xf numFmtId="49" fontId="5" fillId="3" borderId="31" xfId="0" quotePrefix="1" applyNumberFormat="1" applyFont="1" applyFill="1" applyBorder="1" applyAlignment="1">
      <alignment horizontal="center" vertical="center" wrapText="1"/>
    </xf>
    <xf numFmtId="0" fontId="5" fillId="3" borderId="31" xfId="0" quotePrefix="1" applyFont="1" applyFill="1" applyBorder="1" applyAlignment="1">
      <alignment horizontal="center" vertical="center" wrapText="1"/>
    </xf>
    <xf numFmtId="49" fontId="5" fillId="3" borderId="32" xfId="0" quotePrefix="1" applyNumberFormat="1" applyFont="1" applyFill="1" applyBorder="1" applyAlignment="1">
      <alignment horizontal="center" vertical="center" wrapText="1"/>
    </xf>
    <xf numFmtId="9" fontId="5" fillId="3" borderId="33" xfId="0" quotePrefix="1" applyNumberFormat="1" applyFont="1" applyFill="1" applyBorder="1" applyAlignment="1">
      <alignment horizontal="center" vertical="center" wrapText="1"/>
    </xf>
    <xf numFmtId="1" fontId="5" fillId="3" borderId="34" xfId="0" quotePrefix="1" applyNumberFormat="1" applyFont="1" applyFill="1" applyBorder="1" applyAlignment="1">
      <alignment horizontal="center" vertical="center" wrapText="1"/>
    </xf>
    <xf numFmtId="1" fontId="5" fillId="3" borderId="30" xfId="0" quotePrefix="1" applyNumberFormat="1" applyFont="1" applyFill="1" applyBorder="1" applyAlignment="1">
      <alignment horizontal="center" vertical="center" wrapText="1"/>
    </xf>
    <xf numFmtId="9" fontId="5" fillId="3" borderId="35" xfId="0" quotePrefix="1" applyNumberFormat="1" applyFont="1" applyFill="1" applyBorder="1" applyAlignment="1">
      <alignment horizontal="center" vertical="center" wrapText="1"/>
    </xf>
    <xf numFmtId="1" fontId="5" fillId="3" borderId="34" xfId="0" applyNumberFormat="1" applyFont="1" applyFill="1" applyBorder="1" applyAlignment="1">
      <alignment horizontal="center" vertical="center" wrapText="1"/>
    </xf>
    <xf numFmtId="1" fontId="5" fillId="3" borderId="36" xfId="0" quotePrefix="1" applyNumberFormat="1" applyFont="1" applyFill="1" applyBorder="1" applyAlignment="1">
      <alignment horizontal="center" vertical="center" wrapText="1"/>
    </xf>
    <xf numFmtId="9" fontId="5" fillId="3" borderId="36" xfId="0" quotePrefix="1" applyNumberFormat="1" applyFont="1" applyFill="1" applyBorder="1" applyAlignment="1">
      <alignment horizontal="center" vertical="center" wrapText="1"/>
    </xf>
    <xf numFmtId="1" fontId="8" fillId="3" borderId="34" xfId="0" quotePrefix="1" applyNumberFormat="1" applyFont="1" applyFill="1" applyBorder="1" applyAlignment="1">
      <alignment horizontal="center" vertical="center" wrapText="1"/>
    </xf>
    <xf numFmtId="1" fontId="5" fillId="0" borderId="11" xfId="2" quotePrefix="1" applyNumberFormat="1" applyFont="1" applyBorder="1" applyAlignment="1">
      <alignment horizontal="center" vertical="center" wrapText="1"/>
    </xf>
    <xf numFmtId="1" fontId="5" fillId="0" borderId="22" xfId="2" quotePrefix="1" applyNumberFormat="1" applyFont="1" applyBorder="1" applyAlignment="1">
      <alignment horizontal="center" vertical="center" wrapText="1"/>
    </xf>
    <xf numFmtId="1" fontId="5" fillId="0" borderId="2" xfId="2" quotePrefix="1" applyNumberFormat="1" applyFont="1" applyBorder="1" applyAlignment="1">
      <alignment horizontal="center" vertical="center" wrapText="1"/>
    </xf>
    <xf numFmtId="9" fontId="5" fillId="0" borderId="37" xfId="2" quotePrefix="1" applyNumberFormat="1" applyFont="1" applyBorder="1" applyAlignment="1">
      <alignment horizontal="center" vertical="center" wrapText="1"/>
    </xf>
    <xf numFmtId="1" fontId="5" fillId="0" borderId="0" xfId="2" quotePrefix="1" applyNumberFormat="1" applyFont="1" applyAlignment="1">
      <alignment horizontal="center" vertical="center" wrapText="1"/>
    </xf>
    <xf numFmtId="1" fontId="5" fillId="0" borderId="10" xfId="2" quotePrefix="1" applyNumberFormat="1" applyFont="1" applyBorder="1" applyAlignment="1">
      <alignment horizontal="center" vertical="center" wrapText="1"/>
    </xf>
    <xf numFmtId="9" fontId="5" fillId="0" borderId="4" xfId="2" quotePrefix="1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" fillId="2" borderId="29" xfId="0" applyFont="1" applyFill="1" applyBorder="1"/>
    <xf numFmtId="49" fontId="5" fillId="3" borderId="29" xfId="0" quotePrefix="1" applyNumberFormat="1" applyFont="1" applyFill="1" applyBorder="1" applyAlignment="1">
      <alignment horizontal="left" vertical="center" wrapText="1"/>
    </xf>
    <xf numFmtId="1" fontId="5" fillId="3" borderId="38" xfId="0" quotePrefix="1" applyNumberFormat="1" applyFont="1" applyFill="1" applyBorder="1" applyAlignment="1">
      <alignment horizontal="center" vertical="center" wrapText="1"/>
    </xf>
    <xf numFmtId="1" fontId="5" fillId="3" borderId="39" xfId="0" quotePrefix="1" applyNumberFormat="1" applyFont="1" applyFill="1" applyBorder="1" applyAlignment="1">
      <alignment horizontal="center" vertical="center" wrapText="1"/>
    </xf>
    <xf numFmtId="49" fontId="5" fillId="3" borderId="38" xfId="0" quotePrefix="1" applyNumberFormat="1" applyFont="1" applyFill="1" applyBorder="1" applyAlignment="1">
      <alignment horizontal="center" vertical="center" wrapText="1"/>
    </xf>
    <xf numFmtId="0" fontId="5" fillId="3" borderId="38" xfId="0" quotePrefix="1" applyFont="1" applyFill="1" applyBorder="1" applyAlignment="1">
      <alignment horizontal="center" vertical="center" wrapText="1"/>
    </xf>
    <xf numFmtId="49" fontId="5" fillId="3" borderId="39" xfId="0" quotePrefix="1" applyNumberFormat="1" applyFont="1" applyFill="1" applyBorder="1" applyAlignment="1">
      <alignment horizontal="center" vertical="center" wrapText="1"/>
    </xf>
    <xf numFmtId="9" fontId="5" fillId="3" borderId="40" xfId="0" quotePrefix="1" applyNumberFormat="1" applyFont="1" applyFill="1" applyBorder="1" applyAlignment="1">
      <alignment horizontal="center" vertical="center" wrapText="1"/>
    </xf>
    <xf numFmtId="1" fontId="5" fillId="3" borderId="41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9" fontId="5" fillId="3" borderId="42" xfId="0" quotePrefix="1" applyNumberFormat="1" applyFont="1" applyFill="1" applyBorder="1" applyAlignment="1">
      <alignment horizontal="center" vertical="center" wrapText="1"/>
    </xf>
    <xf numFmtId="1" fontId="5" fillId="3" borderId="7" xfId="0" quotePrefix="1" applyNumberFormat="1" applyFont="1" applyFill="1" applyBorder="1" applyAlignment="1">
      <alignment horizontal="center" vertical="center" wrapText="1"/>
    </xf>
    <xf numFmtId="1" fontId="5" fillId="3" borderId="41" xfId="0" applyNumberFormat="1" applyFont="1" applyFill="1" applyBorder="1" applyAlignment="1">
      <alignment horizontal="center" vertical="center" wrapText="1"/>
    </xf>
    <xf numFmtId="1" fontId="8" fillId="3" borderId="41" xfId="0" quotePrefix="1" applyNumberFormat="1" applyFont="1" applyFill="1" applyBorder="1" applyAlignment="1">
      <alignment horizontal="center" vertical="center" wrapText="1"/>
    </xf>
    <xf numFmtId="1" fontId="5" fillId="0" borderId="41" xfId="2" quotePrefix="1" applyNumberFormat="1" applyFont="1" applyBorder="1" applyAlignment="1">
      <alignment horizontal="center" vertical="center" wrapText="1"/>
    </xf>
    <xf numFmtId="1" fontId="5" fillId="0" borderId="29" xfId="2" quotePrefix="1" applyNumberFormat="1" applyFont="1" applyBorder="1" applyAlignment="1">
      <alignment horizontal="center" vertical="center" wrapText="1"/>
    </xf>
    <xf numFmtId="9" fontId="5" fillId="0" borderId="43" xfId="2" quotePrefix="1" applyNumberFormat="1" applyFont="1" applyBorder="1" applyAlignment="1">
      <alignment horizontal="center" vertical="center" wrapText="1"/>
    </xf>
    <xf numFmtId="1" fontId="5" fillId="0" borderId="39" xfId="2" quotePrefix="1" applyNumberFormat="1" applyFont="1" applyBorder="1" applyAlignment="1">
      <alignment horizontal="center" vertical="center" wrapText="1"/>
    </xf>
    <xf numFmtId="1" fontId="5" fillId="0" borderId="43" xfId="2" quotePrefix="1" applyNumberFormat="1" applyFont="1" applyBorder="1" applyAlignment="1">
      <alignment horizontal="center" vertical="center" wrapText="1"/>
    </xf>
    <xf numFmtId="9" fontId="5" fillId="0" borderId="44" xfId="2" quotePrefix="1" applyNumberFormat="1" applyFont="1" applyBorder="1" applyAlignment="1">
      <alignment horizontal="center" vertical="center" wrapText="1"/>
    </xf>
    <xf numFmtId="1" fontId="5" fillId="0" borderId="36" xfId="2" quotePrefix="1" applyNumberFormat="1" applyFont="1" applyBorder="1" applyAlignment="1">
      <alignment horizontal="center" vertical="center" wrapText="1"/>
    </xf>
    <xf numFmtId="9" fontId="5" fillId="0" borderId="32" xfId="2" quotePrefix="1" applyNumberFormat="1" applyFont="1" applyBorder="1" applyAlignment="1">
      <alignment horizontal="center" vertical="center" wrapText="1"/>
    </xf>
    <xf numFmtId="0" fontId="9" fillId="2" borderId="29" xfId="0" applyFont="1" applyFill="1" applyBorder="1"/>
    <xf numFmtId="49" fontId="10" fillId="10" borderId="29" xfId="0" quotePrefix="1" applyNumberFormat="1" applyFont="1" applyFill="1" applyBorder="1" applyAlignment="1">
      <alignment horizontal="left" vertical="center" wrapText="1"/>
    </xf>
    <xf numFmtId="1" fontId="10" fillId="10" borderId="38" xfId="0" quotePrefix="1" applyNumberFormat="1" applyFont="1" applyFill="1" applyBorder="1" applyAlignment="1">
      <alignment horizontal="center" vertical="center" wrapText="1"/>
    </xf>
    <xf numFmtId="1" fontId="10" fillId="10" borderId="39" xfId="0" quotePrefix="1" applyNumberFormat="1" applyFont="1" applyFill="1" applyBorder="1" applyAlignment="1">
      <alignment horizontal="center" vertical="center" wrapText="1"/>
    </xf>
    <xf numFmtId="49" fontId="10" fillId="10" borderId="38" xfId="0" quotePrefix="1" applyNumberFormat="1" applyFont="1" applyFill="1" applyBorder="1" applyAlignment="1">
      <alignment horizontal="center" vertical="center" wrapText="1"/>
    </xf>
    <xf numFmtId="49" fontId="10" fillId="10" borderId="39" xfId="0" quotePrefix="1" applyNumberFormat="1" applyFont="1" applyFill="1" applyBorder="1" applyAlignment="1">
      <alignment horizontal="center" vertical="center" wrapText="1"/>
    </xf>
    <xf numFmtId="9" fontId="10" fillId="10" borderId="40" xfId="0" quotePrefix="1" applyNumberFormat="1" applyFont="1" applyFill="1" applyBorder="1" applyAlignment="1">
      <alignment horizontal="center" vertical="center" wrapText="1"/>
    </xf>
    <xf numFmtId="1" fontId="10" fillId="10" borderId="41" xfId="0" quotePrefix="1" applyNumberFormat="1" applyFont="1" applyFill="1" applyBorder="1" applyAlignment="1">
      <alignment horizontal="center" vertical="center" wrapText="1"/>
    </xf>
    <xf numFmtId="9" fontId="10" fillId="10" borderId="42" xfId="0" quotePrefix="1" applyNumberFormat="1" applyFont="1" applyFill="1" applyBorder="1" applyAlignment="1">
      <alignment horizontal="center" vertical="center" wrapText="1"/>
    </xf>
    <xf numFmtId="1" fontId="10" fillId="10" borderId="41" xfId="0" applyNumberFormat="1" applyFont="1" applyFill="1" applyBorder="1" applyAlignment="1">
      <alignment horizontal="center" vertical="center" wrapText="1"/>
    </xf>
    <xf numFmtId="9" fontId="10" fillId="10" borderId="43" xfId="0" quotePrefix="1" applyNumberFormat="1" applyFont="1" applyFill="1" applyBorder="1" applyAlignment="1">
      <alignment horizontal="center" vertical="center" wrapText="1"/>
    </xf>
    <xf numFmtId="1" fontId="11" fillId="10" borderId="41" xfId="0" quotePrefix="1" applyNumberFormat="1" applyFont="1" applyFill="1" applyBorder="1" applyAlignment="1">
      <alignment horizontal="center" vertical="center" wrapText="1"/>
    </xf>
    <xf numFmtId="1" fontId="10" fillId="10" borderId="43" xfId="0" quotePrefix="1" applyNumberFormat="1" applyFont="1" applyFill="1" applyBorder="1" applyAlignment="1">
      <alignment horizontal="center" vertical="center" wrapText="1"/>
    </xf>
    <xf numFmtId="9" fontId="10" fillId="10" borderId="39" xfId="0" quotePrefix="1" applyNumberFormat="1" applyFont="1" applyFill="1" applyBorder="1" applyAlignment="1">
      <alignment horizontal="center" vertical="center" wrapText="1"/>
    </xf>
    <xf numFmtId="0" fontId="12" fillId="1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3">
    <cellStyle name="Обычный" xfId="0" builtinId="0"/>
    <cellStyle name="Обычный 2 4" xfId="2" xr:uid="{2022022E-32AA-476D-BDC6-BB50F1010816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A755-3FA4-4DFC-AD6D-1B8EF1A424C8}">
  <sheetPr>
    <pageSetUpPr fitToPage="1"/>
  </sheetPr>
  <dimension ref="A1:AO23"/>
  <sheetViews>
    <sheetView tabSelected="1" view="pageBreakPreview" topLeftCell="B1" zoomScale="50" zoomScaleNormal="100" zoomScaleSheetLayoutView="50" workbookViewId="0">
      <selection activeCell="AG22" sqref="AG22:AG23"/>
    </sheetView>
  </sheetViews>
  <sheetFormatPr defaultColWidth="9.109375" defaultRowHeight="13.8" outlineLevelRow="1" x14ac:dyDescent="0.3"/>
  <cols>
    <col min="1" max="1" width="39" style="128" hidden="1" customWidth="1"/>
    <col min="2" max="2" width="47.44140625" style="132" customWidth="1"/>
    <col min="3" max="3" width="12" style="133" customWidth="1"/>
    <col min="4" max="4" width="12.21875" style="133" customWidth="1"/>
    <col min="5" max="5" width="13.109375" style="132" customWidth="1"/>
    <col min="6" max="6" width="18.6640625" style="132" customWidth="1"/>
    <col min="7" max="7" width="16.88671875" style="132" customWidth="1"/>
    <col min="8" max="8" width="19.109375" style="133" customWidth="1"/>
    <col min="9" max="9" width="18.44140625" style="132" customWidth="1"/>
    <col min="10" max="10" width="23.5546875" style="132" customWidth="1"/>
    <col min="11" max="11" width="15.44140625" style="132" customWidth="1"/>
    <col min="12" max="12" width="16.5546875" style="132" customWidth="1"/>
    <col min="13" max="13" width="14.88671875" style="132" customWidth="1"/>
    <col min="14" max="14" width="10.88671875" style="132" customWidth="1"/>
    <col min="15" max="15" width="12.6640625" style="132" customWidth="1"/>
    <col min="16" max="16" width="18.44140625" style="132" customWidth="1"/>
    <col min="17" max="17" width="17.77734375" style="132" customWidth="1"/>
    <col min="18" max="18" width="30.21875" style="132" customWidth="1"/>
    <col min="19" max="19" width="14.44140625" style="132" customWidth="1"/>
    <col min="20" max="20" width="23.77734375" style="134" customWidth="1"/>
    <col min="21" max="21" width="20.88671875" style="134" customWidth="1"/>
    <col min="22" max="22" width="28.88671875" style="134" customWidth="1"/>
    <col min="23" max="23" width="20.6640625" style="132" customWidth="1"/>
    <col min="24" max="24" width="23.33203125" style="132" customWidth="1"/>
    <col min="25" max="26" width="16.109375" style="132" customWidth="1"/>
    <col min="27" max="27" width="15.44140625" style="132" customWidth="1"/>
    <col min="28" max="28" width="20.21875" style="134" customWidth="1"/>
    <col min="29" max="29" width="22.44140625" style="134" customWidth="1"/>
    <col min="30" max="30" width="22.21875" style="27" customWidth="1"/>
    <col min="31" max="31" width="16.21875" style="134" customWidth="1"/>
    <col min="32" max="32" width="9.21875" style="134" customWidth="1"/>
    <col min="33" max="33" width="17.77734375" style="8" customWidth="1"/>
    <col min="34" max="34" width="18.21875" style="8" customWidth="1"/>
    <col min="35" max="35" width="11.5546875" style="8" customWidth="1"/>
    <col min="36" max="36" width="15.33203125" style="8" customWidth="1"/>
    <col min="37" max="37" width="23.109375" style="8" customWidth="1"/>
    <col min="38" max="38" width="23.6640625" style="8" customWidth="1"/>
    <col min="39" max="39" width="21.6640625" style="8" customWidth="1"/>
    <col min="40" max="40" width="19.44140625" style="8" customWidth="1"/>
    <col min="41" max="16384" width="9.109375" style="8"/>
  </cols>
  <sheetData>
    <row r="1" spans="1:41" s="4" customFormat="1" ht="22.5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</row>
    <row r="2" spans="1:41" s="9" customFormat="1" ht="71.25" customHeight="1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7"/>
      <c r="AI2" s="7"/>
      <c r="AJ2" s="7"/>
      <c r="AK2" s="7"/>
      <c r="AL2" s="7"/>
      <c r="AM2" s="7"/>
      <c r="AN2" s="7"/>
      <c r="AO2" s="8"/>
    </row>
    <row r="3" spans="1:41" s="9" customFormat="1" ht="107.25" customHeight="1" thickBot="1" x14ac:dyDescent="0.35">
      <c r="A3" s="5"/>
      <c r="B3" s="10" t="s">
        <v>1</v>
      </c>
      <c r="C3" s="11" t="s">
        <v>2</v>
      </c>
      <c r="D3" s="12"/>
      <c r="E3" s="12"/>
      <c r="F3" s="12"/>
      <c r="G3" s="12"/>
      <c r="H3" s="12"/>
      <c r="I3" s="12"/>
      <c r="J3" s="13" t="s">
        <v>3</v>
      </c>
      <c r="K3" s="13" t="s">
        <v>4</v>
      </c>
      <c r="L3" s="13" t="s">
        <v>5</v>
      </c>
      <c r="M3" s="14" t="s">
        <v>6</v>
      </c>
      <c r="N3" s="14"/>
      <c r="O3" s="14"/>
      <c r="P3" s="14"/>
      <c r="Q3" s="14"/>
      <c r="R3" s="15"/>
      <c r="S3" s="16" t="s">
        <v>7</v>
      </c>
      <c r="T3" s="17" t="s">
        <v>8</v>
      </c>
      <c r="U3" s="18" t="s">
        <v>9</v>
      </c>
      <c r="V3" s="18" t="s">
        <v>10</v>
      </c>
      <c r="W3" s="19" t="s">
        <v>11</v>
      </c>
      <c r="X3" s="20"/>
      <c r="Y3" s="20"/>
      <c r="Z3" s="20"/>
      <c r="AA3" s="21"/>
      <c r="AB3" s="22" t="s">
        <v>12</v>
      </c>
      <c r="AC3" s="22" t="s">
        <v>13</v>
      </c>
      <c r="AD3" s="23" t="s">
        <v>14</v>
      </c>
      <c r="AE3" s="24" t="s">
        <v>15</v>
      </c>
      <c r="AF3" s="23" t="s">
        <v>16</v>
      </c>
      <c r="AG3" s="25" t="s">
        <v>17</v>
      </c>
      <c r="AH3" s="26"/>
      <c r="AI3" s="23" t="s">
        <v>18</v>
      </c>
      <c r="AJ3" s="23" t="s">
        <v>19</v>
      </c>
      <c r="AK3" s="25" t="s">
        <v>20</v>
      </c>
      <c r="AL3" s="26"/>
      <c r="AM3" s="23" t="s">
        <v>21</v>
      </c>
      <c r="AN3" s="23" t="s">
        <v>22</v>
      </c>
      <c r="AO3" s="8"/>
    </row>
    <row r="4" spans="1:41" s="4" customFormat="1" ht="114.75" customHeight="1" thickBot="1" x14ac:dyDescent="0.35">
      <c r="A4" s="27"/>
      <c r="B4" s="28"/>
      <c r="C4" s="29" t="s">
        <v>23</v>
      </c>
      <c r="D4" s="30" t="s">
        <v>24</v>
      </c>
      <c r="E4" s="31" t="s">
        <v>25</v>
      </c>
      <c r="F4" s="32" t="s">
        <v>26</v>
      </c>
      <c r="G4" s="33" t="s">
        <v>27</v>
      </c>
      <c r="H4" s="34" t="s">
        <v>28</v>
      </c>
      <c r="I4" s="35" t="s">
        <v>29</v>
      </c>
      <c r="J4" s="36"/>
      <c r="K4" s="36"/>
      <c r="L4" s="36"/>
      <c r="M4" s="37" t="s">
        <v>30</v>
      </c>
      <c r="N4" s="38" t="s">
        <v>31</v>
      </c>
      <c r="O4" s="39" t="s">
        <v>32</v>
      </c>
      <c r="P4" s="40" t="s">
        <v>31</v>
      </c>
      <c r="Q4" s="39" t="s">
        <v>33</v>
      </c>
      <c r="R4" s="40" t="s">
        <v>31</v>
      </c>
      <c r="S4" s="41"/>
      <c r="T4" s="42"/>
      <c r="U4" s="43"/>
      <c r="V4" s="43"/>
      <c r="W4" s="39" t="s">
        <v>32</v>
      </c>
      <c r="X4" s="40" t="s">
        <v>31</v>
      </c>
      <c r="Y4" s="44" t="s">
        <v>34</v>
      </c>
      <c r="Z4" s="44" t="s">
        <v>35</v>
      </c>
      <c r="AA4" s="44" t="s">
        <v>31</v>
      </c>
      <c r="AB4" s="45"/>
      <c r="AC4" s="45"/>
      <c r="AD4" s="46"/>
      <c r="AE4" s="47"/>
      <c r="AF4" s="46"/>
      <c r="AG4" s="48"/>
      <c r="AH4" s="49"/>
      <c r="AI4" s="46"/>
      <c r="AJ4" s="46"/>
      <c r="AK4" s="48"/>
      <c r="AL4" s="49"/>
      <c r="AM4" s="46"/>
      <c r="AN4" s="46"/>
    </row>
    <row r="5" spans="1:41" s="4" customFormat="1" ht="114.75" customHeight="1" thickBot="1" x14ac:dyDescent="0.35">
      <c r="A5" s="27"/>
      <c r="B5" s="50"/>
      <c r="C5" s="51"/>
      <c r="D5" s="52"/>
      <c r="E5" s="53"/>
      <c r="F5" s="54"/>
      <c r="G5" s="55"/>
      <c r="H5" s="56"/>
      <c r="I5" s="57"/>
      <c r="J5" s="50"/>
      <c r="K5" s="50"/>
      <c r="L5" s="50"/>
      <c r="M5" s="58"/>
      <c r="N5" s="59"/>
      <c r="O5" s="53"/>
      <c r="P5" s="60"/>
      <c r="Q5" s="53"/>
      <c r="R5" s="60"/>
      <c r="S5" s="61"/>
      <c r="T5" s="62"/>
      <c r="U5" s="63"/>
      <c r="V5" s="64"/>
      <c r="W5" s="53"/>
      <c r="X5" s="60"/>
      <c r="Y5" s="50"/>
      <c r="Z5" s="50"/>
      <c r="AA5" s="50"/>
      <c r="AB5" s="65"/>
      <c r="AC5" s="66"/>
      <c r="AD5" s="50"/>
      <c r="AE5" s="67"/>
      <c r="AF5" s="50"/>
      <c r="AG5" s="66" t="s">
        <v>36</v>
      </c>
      <c r="AH5" s="66" t="s">
        <v>37</v>
      </c>
      <c r="AI5" s="50"/>
      <c r="AJ5" s="50"/>
      <c r="AK5" s="66" t="s">
        <v>36</v>
      </c>
      <c r="AL5" s="66" t="s">
        <v>37</v>
      </c>
      <c r="AM5" s="50"/>
      <c r="AN5" s="50"/>
    </row>
    <row r="6" spans="1:41" s="90" customFormat="1" ht="51.75" customHeight="1" outlineLevel="1" thickBot="1" x14ac:dyDescent="0.3">
      <c r="A6" s="68" t="s">
        <v>38</v>
      </c>
      <c r="B6" s="69" t="s">
        <v>39</v>
      </c>
      <c r="C6" s="70">
        <v>801</v>
      </c>
      <c r="D6" s="71">
        <f>C6*167/162.2</f>
        <v>824.70406905055495</v>
      </c>
      <c r="E6" s="72">
        <v>886</v>
      </c>
      <c r="F6" s="71">
        <f>E6*167/162.2</f>
        <v>912.21948212083851</v>
      </c>
      <c r="G6" s="73">
        <v>834</v>
      </c>
      <c r="H6" s="74">
        <v>589</v>
      </c>
      <c r="I6" s="75">
        <f>H6/G6</f>
        <v>0.70623501199040772</v>
      </c>
      <c r="J6" s="76">
        <v>28</v>
      </c>
      <c r="K6" s="76">
        <v>10</v>
      </c>
      <c r="L6" s="77">
        <f>SUM(J6+K6)</f>
        <v>38</v>
      </c>
      <c r="M6" s="70">
        <v>580</v>
      </c>
      <c r="N6" s="75">
        <v>18</v>
      </c>
      <c r="O6" s="70">
        <v>696</v>
      </c>
      <c r="P6" s="78">
        <f>J6/O6</f>
        <v>4.0229885057471264E-2</v>
      </c>
      <c r="Q6" s="70">
        <f>O6*168/167.6</f>
        <v>697.66109785202866</v>
      </c>
      <c r="R6" s="78">
        <f>J6/Q6</f>
        <v>4.0134099616858238E-2</v>
      </c>
      <c r="S6" s="76">
        <f>O6-J6</f>
        <v>668</v>
      </c>
      <c r="T6" s="79">
        <v>1010</v>
      </c>
      <c r="U6" s="79">
        <v>857</v>
      </c>
      <c r="V6" s="78">
        <f>J6/U6</f>
        <v>3.2672112018669777E-2</v>
      </c>
      <c r="W6" s="70">
        <v>928.63970588235293</v>
      </c>
      <c r="X6" s="78">
        <f>J6/W6</f>
        <v>3.0151629122293043E-2</v>
      </c>
      <c r="Y6" s="76">
        <v>55</v>
      </c>
      <c r="Z6" s="80">
        <v>0</v>
      </c>
      <c r="AA6" s="81">
        <f>SUM(L6/Y6)</f>
        <v>0.69090909090909092</v>
      </c>
      <c r="AB6" s="82">
        <v>803</v>
      </c>
      <c r="AC6" s="78">
        <f>J6/AB6</f>
        <v>3.4869240348692404E-2</v>
      </c>
      <c r="AD6" s="76">
        <v>0</v>
      </c>
      <c r="AE6" s="79"/>
      <c r="AF6" s="76">
        <v>9</v>
      </c>
      <c r="AG6" s="83">
        <v>0</v>
      </c>
      <c r="AH6" s="84">
        <v>0</v>
      </c>
      <c r="AI6" s="85">
        <f>SUM(L6+AG6+AH6)</f>
        <v>38</v>
      </c>
      <c r="AJ6" s="86">
        <f>SUM(AI6/Y6)</f>
        <v>0.69090909090909092</v>
      </c>
      <c r="AK6" s="87">
        <v>0</v>
      </c>
      <c r="AL6" s="85">
        <v>1</v>
      </c>
      <c r="AM6" s="88">
        <f>SUM(AI6+AK6+AL6)</f>
        <v>39</v>
      </c>
      <c r="AN6" s="89">
        <f>SUM(AM6/Y6)</f>
        <v>0.70909090909090911</v>
      </c>
    </row>
    <row r="7" spans="1:41" s="90" customFormat="1" ht="30" customHeight="1" outlineLevel="1" thickBot="1" x14ac:dyDescent="0.3">
      <c r="A7" s="91" t="s">
        <v>40</v>
      </c>
      <c r="B7" s="92" t="s">
        <v>41</v>
      </c>
      <c r="C7" s="93">
        <v>351</v>
      </c>
      <c r="D7" s="94">
        <f>C7*167/162.2</f>
        <v>361.38717632552408</v>
      </c>
      <c r="E7" s="95">
        <v>421</v>
      </c>
      <c r="F7" s="94">
        <f>E7*167/162.2</f>
        <v>433.45869297164</v>
      </c>
      <c r="G7" s="96">
        <v>512</v>
      </c>
      <c r="H7" s="97">
        <v>337</v>
      </c>
      <c r="I7" s="98">
        <f>H7/G7</f>
        <v>0.658203125</v>
      </c>
      <c r="J7" s="99">
        <v>18</v>
      </c>
      <c r="K7" s="99">
        <v>8</v>
      </c>
      <c r="L7" s="100">
        <f>SUM(J7+K7)</f>
        <v>26</v>
      </c>
      <c r="M7" s="93">
        <v>337</v>
      </c>
      <c r="N7" s="98">
        <v>17</v>
      </c>
      <c r="O7" s="93">
        <v>288</v>
      </c>
      <c r="P7" s="101">
        <f>J7/O7</f>
        <v>6.25E-2</v>
      </c>
      <c r="Q7" s="93">
        <f>O7*168/167.6</f>
        <v>288.68735083532221</v>
      </c>
      <c r="R7" s="101">
        <f>J7/Q7</f>
        <v>6.2351190476190477E-2</v>
      </c>
      <c r="S7" s="102">
        <f>O7-J7</f>
        <v>270</v>
      </c>
      <c r="T7" s="103">
        <v>393</v>
      </c>
      <c r="U7" s="103">
        <v>465</v>
      </c>
      <c r="V7" s="101">
        <f>J7/U7</f>
        <v>3.870967741935484E-2</v>
      </c>
      <c r="W7" s="93">
        <v>445.84558823529414</v>
      </c>
      <c r="X7" s="101">
        <f>J7/W7</f>
        <v>4.0372722025232947E-2</v>
      </c>
      <c r="Y7" s="99">
        <v>26</v>
      </c>
      <c r="Z7" s="80">
        <v>5</v>
      </c>
      <c r="AA7" s="81">
        <f>SUM(L7/Y7)</f>
        <v>1</v>
      </c>
      <c r="AB7" s="104">
        <v>377</v>
      </c>
      <c r="AC7" s="101">
        <f>J7/AB7</f>
        <v>4.7745358090185673E-2</v>
      </c>
      <c r="AD7" s="99">
        <v>1</v>
      </c>
      <c r="AE7" s="103"/>
      <c r="AF7" s="99">
        <v>1</v>
      </c>
      <c r="AG7" s="105">
        <v>0</v>
      </c>
      <c r="AH7" s="106">
        <v>0</v>
      </c>
      <c r="AI7" s="105">
        <f>SUM(L7+AG7+AH7)</f>
        <v>26</v>
      </c>
      <c r="AJ7" s="107">
        <f>SUM(AI7/Y7)</f>
        <v>1</v>
      </c>
      <c r="AK7" s="108">
        <v>0</v>
      </c>
      <c r="AL7" s="105">
        <v>0</v>
      </c>
      <c r="AM7" s="109">
        <f>SUM(AI7+AK7+AL7)</f>
        <v>26</v>
      </c>
      <c r="AN7" s="110">
        <f>SUM(AM7/Y7)</f>
        <v>1</v>
      </c>
    </row>
    <row r="8" spans="1:41" s="90" customFormat="1" ht="30" customHeight="1" outlineLevel="1" thickBot="1" x14ac:dyDescent="0.3">
      <c r="A8" s="91" t="s">
        <v>42</v>
      </c>
      <c r="B8" s="92" t="s">
        <v>43</v>
      </c>
      <c r="C8" s="93">
        <v>657</v>
      </c>
      <c r="D8" s="94">
        <f>C8*167/162.2</f>
        <v>676.44266337854503</v>
      </c>
      <c r="E8" s="95">
        <v>806</v>
      </c>
      <c r="F8" s="94">
        <f>E8*167/162.2</f>
        <v>829.85203452527753</v>
      </c>
      <c r="G8" s="96">
        <v>777</v>
      </c>
      <c r="H8" s="97">
        <v>691</v>
      </c>
      <c r="I8" s="98">
        <f>H8/G8</f>
        <v>0.88931788931788935</v>
      </c>
      <c r="J8" s="99">
        <v>34</v>
      </c>
      <c r="K8" s="99">
        <v>7</v>
      </c>
      <c r="L8" s="100">
        <f>SUM(J8+K8)</f>
        <v>41</v>
      </c>
      <c r="M8" s="93">
        <v>626</v>
      </c>
      <c r="N8" s="98">
        <v>22</v>
      </c>
      <c r="O8" s="93">
        <v>752</v>
      </c>
      <c r="P8" s="101">
        <f>J8/O8</f>
        <v>4.5212765957446811E-2</v>
      </c>
      <c r="Q8" s="93">
        <f>O8*168/167.6</f>
        <v>753.79474940334137</v>
      </c>
      <c r="R8" s="101">
        <f>J8/Q8</f>
        <v>4.5105116514690978E-2</v>
      </c>
      <c r="S8" s="102">
        <f>O8-J8</f>
        <v>718</v>
      </c>
      <c r="T8" s="103">
        <v>999</v>
      </c>
      <c r="U8" s="103">
        <v>1259</v>
      </c>
      <c r="V8" s="101">
        <f>J8/U8</f>
        <v>2.7005559968228753E-2</v>
      </c>
      <c r="W8" s="93">
        <v>1082.5919117647059</v>
      </c>
      <c r="X8" s="101">
        <f>J8/W8</f>
        <v>3.1406109384816534E-2</v>
      </c>
      <c r="Y8" s="99">
        <v>45</v>
      </c>
      <c r="Z8" s="80">
        <v>0</v>
      </c>
      <c r="AA8" s="81">
        <f>SUM(L8/Y8)</f>
        <v>0.91111111111111109</v>
      </c>
      <c r="AB8" s="104">
        <v>1098</v>
      </c>
      <c r="AC8" s="101">
        <f>J8/AB8</f>
        <v>3.0965391621129327E-2</v>
      </c>
      <c r="AD8" s="99">
        <v>0</v>
      </c>
      <c r="AE8" s="103"/>
      <c r="AF8" s="99">
        <v>7</v>
      </c>
      <c r="AG8" s="105">
        <v>0</v>
      </c>
      <c r="AH8" s="106">
        <v>0</v>
      </c>
      <c r="AI8" s="105">
        <f>SUM(L8+AG8+AH8)</f>
        <v>41</v>
      </c>
      <c r="AJ8" s="107">
        <f>SUM(AI8/Y8)</f>
        <v>0.91111111111111109</v>
      </c>
      <c r="AK8" s="108">
        <v>0</v>
      </c>
      <c r="AL8" s="105">
        <v>0</v>
      </c>
      <c r="AM8" s="109">
        <f>SUM(AI8+AK8+AL8)</f>
        <v>41</v>
      </c>
      <c r="AN8" s="110">
        <f>SUM(AM8/Y8)</f>
        <v>0.91111111111111109</v>
      </c>
    </row>
    <row r="9" spans="1:41" s="90" customFormat="1" ht="30" customHeight="1" outlineLevel="1" thickBot="1" x14ac:dyDescent="0.3">
      <c r="A9" s="91" t="s">
        <v>44</v>
      </c>
      <c r="B9" s="92" t="s">
        <v>45</v>
      </c>
      <c r="C9" s="93">
        <v>294</v>
      </c>
      <c r="D9" s="94">
        <f>C9*167/162.2</f>
        <v>302.70036991368681</v>
      </c>
      <c r="E9" s="95">
        <v>369</v>
      </c>
      <c r="F9" s="94">
        <f>E9*167/162.2</f>
        <v>379.91985203452532</v>
      </c>
      <c r="G9" s="96">
        <v>404</v>
      </c>
      <c r="H9" s="97">
        <v>370</v>
      </c>
      <c r="I9" s="98">
        <f>H9/G9</f>
        <v>0.91584158415841588</v>
      </c>
      <c r="J9" s="99">
        <v>21</v>
      </c>
      <c r="K9" s="99">
        <v>8</v>
      </c>
      <c r="L9" s="100">
        <f>SUM(J9+K9)</f>
        <v>29</v>
      </c>
      <c r="M9" s="93">
        <v>369</v>
      </c>
      <c r="N9" s="98">
        <v>0</v>
      </c>
      <c r="O9" s="93">
        <v>317</v>
      </c>
      <c r="P9" s="101">
        <f>J9/O9</f>
        <v>6.6246056782334389E-2</v>
      </c>
      <c r="Q9" s="93">
        <f>O9*168/167.6</f>
        <v>317.75656324582337</v>
      </c>
      <c r="R9" s="101">
        <f>J9/Q9</f>
        <v>6.6088328075709787E-2</v>
      </c>
      <c r="S9" s="102">
        <f>O9-J9</f>
        <v>296</v>
      </c>
      <c r="T9" s="103">
        <v>393</v>
      </c>
      <c r="U9" s="103">
        <v>529</v>
      </c>
      <c r="V9" s="101">
        <f>J9/U9</f>
        <v>3.9697542533081283E-2</v>
      </c>
      <c r="W9" s="93">
        <v>562.84926470588232</v>
      </c>
      <c r="X9" s="101">
        <f>J9/W9</f>
        <v>3.7310166889839645E-2</v>
      </c>
      <c r="Y9" s="99">
        <v>31</v>
      </c>
      <c r="Z9" s="80">
        <v>7</v>
      </c>
      <c r="AA9" s="81">
        <f>SUM(L9/Y9)</f>
        <v>0.93548387096774188</v>
      </c>
      <c r="AB9" s="104">
        <v>610</v>
      </c>
      <c r="AC9" s="101">
        <f>J9/AB9</f>
        <v>3.4426229508196723E-2</v>
      </c>
      <c r="AD9" s="99">
        <v>1</v>
      </c>
      <c r="AE9" s="103"/>
      <c r="AF9" s="99">
        <v>0</v>
      </c>
      <c r="AG9" s="83">
        <v>0</v>
      </c>
      <c r="AH9" s="84">
        <v>0</v>
      </c>
      <c r="AI9" s="105">
        <f>SUM(L9+AG9+AH9)</f>
        <v>29</v>
      </c>
      <c r="AJ9" s="107">
        <f>SUM(AI9/Y9)</f>
        <v>0.93548387096774188</v>
      </c>
      <c r="AK9" s="87">
        <v>0</v>
      </c>
      <c r="AL9" s="83">
        <v>0</v>
      </c>
      <c r="AM9" s="111">
        <f>SUM(AI9+AK9+AL9)</f>
        <v>29</v>
      </c>
      <c r="AN9" s="112">
        <f>SUM(AM9/Y9)</f>
        <v>0.93548387096774188</v>
      </c>
    </row>
    <row r="10" spans="1:41" s="127" customFormat="1" ht="30" customHeight="1" x14ac:dyDescent="0.25">
      <c r="A10" s="113" t="s">
        <v>46</v>
      </c>
      <c r="B10" s="114" t="s">
        <v>47</v>
      </c>
      <c r="C10" s="115">
        <v>2103</v>
      </c>
      <c r="D10" s="116">
        <f>C10*167/162.2</f>
        <v>2165.2342786683107</v>
      </c>
      <c r="E10" s="117">
        <v>2482</v>
      </c>
      <c r="F10" s="116">
        <f>E10*167/162.2</f>
        <v>2555.4500616522814</v>
      </c>
      <c r="G10" s="115">
        <f>SUM(G6:G9)</f>
        <v>2527</v>
      </c>
      <c r="H10" s="118">
        <v>1987</v>
      </c>
      <c r="I10" s="119">
        <f>H10/G10</f>
        <v>0.78630787495053422</v>
      </c>
      <c r="J10" s="120">
        <f>SUM(J6+J7+J8+J9)</f>
        <v>101</v>
      </c>
      <c r="K10" s="120">
        <f>SUM(K6+K7+K8+K9)</f>
        <v>33</v>
      </c>
      <c r="L10" s="120">
        <f>SUM(L6+L7+L8+L9)</f>
        <v>134</v>
      </c>
      <c r="M10" s="115">
        <v>1912</v>
      </c>
      <c r="N10" s="119">
        <v>57</v>
      </c>
      <c r="O10" s="115">
        <f>SUM(O6:O9)</f>
        <v>2053</v>
      </c>
      <c r="P10" s="121">
        <f>J10/O10</f>
        <v>4.9196298100340964E-2</v>
      </c>
      <c r="Q10" s="115">
        <f>O10*168/167.6</f>
        <v>2057.8997613365154</v>
      </c>
      <c r="R10" s="121">
        <f>J10/Q10</f>
        <v>4.9079164057244919E-2</v>
      </c>
      <c r="S10" s="102">
        <f>O10-J10</f>
        <v>1952</v>
      </c>
      <c r="T10" s="122">
        <v>2795</v>
      </c>
      <c r="U10" s="122">
        <v>3110</v>
      </c>
      <c r="V10" s="121">
        <f>J10/U10</f>
        <v>3.2475884244372991E-2</v>
      </c>
      <c r="W10" s="115">
        <v>3019.9264705882351</v>
      </c>
      <c r="X10" s="121">
        <f>J10/W10</f>
        <v>3.3444522899369389E-2</v>
      </c>
      <c r="Y10" s="120">
        <f>SUM(Y6+Y7+Y8+Y9)</f>
        <v>157</v>
      </c>
      <c r="Z10" s="120">
        <f>SUM(Z6+Z7+Z8+Z9)</f>
        <v>12</v>
      </c>
      <c r="AA10" s="123">
        <f>SUM(L10/Y10)</f>
        <v>0.85350318471337583</v>
      </c>
      <c r="AB10" s="124">
        <f>SUM(AB6:AB9)</f>
        <v>2888</v>
      </c>
      <c r="AC10" s="121">
        <f>J10/AB10</f>
        <v>3.4972299168975068E-2</v>
      </c>
      <c r="AD10" s="120">
        <f t="shared" ref="AD10:AI10" si="0">SUM(AD6+AD7+AD8+AD9)</f>
        <v>2</v>
      </c>
      <c r="AE10" s="120">
        <f t="shared" si="0"/>
        <v>0</v>
      </c>
      <c r="AF10" s="120">
        <f t="shared" si="0"/>
        <v>17</v>
      </c>
      <c r="AG10" s="125">
        <f t="shared" si="0"/>
        <v>0</v>
      </c>
      <c r="AH10" s="116">
        <f t="shared" si="0"/>
        <v>0</v>
      </c>
      <c r="AI10" s="120">
        <f t="shared" si="0"/>
        <v>134</v>
      </c>
      <c r="AJ10" s="123">
        <f>SUM(AI10/Y10)</f>
        <v>0.85350318471337583</v>
      </c>
      <c r="AK10" s="116">
        <f>SUM(AK6+AK7+AK8+AK9)</f>
        <v>0</v>
      </c>
      <c r="AL10" s="120">
        <f>SUM(AL6+AL7+AL8+AL9)</f>
        <v>1</v>
      </c>
      <c r="AM10" s="125">
        <f>SUM(AM6+AM7+AM8+AM9)</f>
        <v>135</v>
      </c>
      <c r="AN10" s="126">
        <f>SUM(AM10/Y10)</f>
        <v>0.85987261146496818</v>
      </c>
    </row>
    <row r="11" spans="1:41" x14ac:dyDescent="0.3"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 spans="1:41" x14ac:dyDescent="0.3"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 spans="1:41" x14ac:dyDescent="0.3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 spans="1:41" x14ac:dyDescent="0.3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 spans="1:41" x14ac:dyDescent="0.3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spans="1:41" x14ac:dyDescent="0.3"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spans="1:32" x14ac:dyDescent="0.3"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spans="1:32" x14ac:dyDescent="0.3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spans="1:32" s="131" customFormat="1" x14ac:dyDescent="0.3">
      <c r="A19" s="128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spans="1:32" s="131" customFormat="1" x14ac:dyDescent="0.3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spans="1:32" s="131" customForma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spans="1:32" s="131" customForma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spans="1:32" s="131" customFormat="1" x14ac:dyDescent="0.3">
      <c r="A23" s="128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</sheetData>
  <mergeCells count="26">
    <mergeCell ref="AN3:AN5"/>
    <mergeCell ref="Y4:Y5"/>
    <mergeCell ref="Z4:Z5"/>
    <mergeCell ref="AA4:AA5"/>
    <mergeCell ref="AF3:AF5"/>
    <mergeCell ref="AG3:AH4"/>
    <mergeCell ref="AI3:AI5"/>
    <mergeCell ref="AJ3:AJ5"/>
    <mergeCell ref="AK3:AL4"/>
    <mergeCell ref="AM3:AM5"/>
    <mergeCell ref="V3:V4"/>
    <mergeCell ref="W3:AA3"/>
    <mergeCell ref="AB3:AB4"/>
    <mergeCell ref="AC3:AC4"/>
    <mergeCell ref="AD3:AD5"/>
    <mergeCell ref="AE3:AE4"/>
    <mergeCell ref="B1:AN2"/>
    <mergeCell ref="B3:B5"/>
    <mergeCell ref="C3:I3"/>
    <mergeCell ref="J3:J5"/>
    <mergeCell ref="K3:K5"/>
    <mergeCell ref="L3:L5"/>
    <mergeCell ref="M3:R3"/>
    <mergeCell ref="S3:S4"/>
    <mergeCell ref="T3:T4"/>
    <mergeCell ref="U3:U4"/>
  </mergeCells>
  <pageMargins left="0.70866141732283472" right="0.70866141732283472" top="0.74803149606299213" bottom="0.74803149606299213" header="0.31496062992125984" footer="0.31496062992125984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ЛНП</vt:lpstr>
      <vt:lpstr>ЛНП!Область_печати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2025-12-26T18:20:33Z</dcterms:created>
  <dcterms:modified xsi:type="dcterms:W3CDTF">2025-12-26T18:22:47Z</dcterms:modified>
</cp:coreProperties>
</file>