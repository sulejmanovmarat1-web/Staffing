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ej\OneDrive\Desktop\Таблицы\"/>
    </mc:Choice>
  </mc:AlternateContent>
  <xr:revisionPtr revIDLastSave="0" documentId="8_{601C2F2E-4493-4420-8B01-DCA3D45E2838}" xr6:coauthVersionLast="45" xr6:coauthVersionMax="45" xr10:uidLastSave="{00000000-0000-0000-0000-000000000000}"/>
  <bookViews>
    <workbookView xWindow="-108" yWindow="-108" windowWidth="23256" windowHeight="12456" xr2:uid="{399A72B8-2A93-484A-8544-96C48725D043}"/>
  </bookViews>
  <sheets>
    <sheet name="ОСМОТРЩИКИ" sheetId="1" r:id="rId1"/>
  </sheets>
  <definedNames>
    <definedName name="_xlnm.Print_Area" localSheetId="0">ОСМОТРЩИКИ!$A$1:$AF$9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9" i="1" l="1"/>
  <c r="Z9" i="1"/>
  <c r="Y9" i="1"/>
  <c r="AB9" i="1" s="1"/>
  <c r="X9" i="1"/>
  <c r="AA9" i="1" s="1"/>
  <c r="W9" i="1"/>
  <c r="AD9" i="1" s="1"/>
  <c r="U9" i="1"/>
  <c r="S9" i="1"/>
  <c r="R9" i="1"/>
  <c r="H9" i="1"/>
  <c r="J9" i="1" s="1"/>
  <c r="D9" i="1"/>
  <c r="C9" i="1"/>
  <c r="E8" i="1"/>
  <c r="AE8" i="1" s="1"/>
  <c r="AD7" i="1"/>
  <c r="E7" i="1"/>
  <c r="AE7" i="1" s="1"/>
  <c r="AD6" i="1"/>
  <c r="AE6" i="1" s="1"/>
  <c r="V6" i="1"/>
  <c r="E6" i="1"/>
  <c r="T6" i="1" s="1"/>
  <c r="AD5" i="1"/>
  <c r="E5" i="1"/>
  <c r="AE5" i="1" s="1"/>
  <c r="V5" i="1" l="1"/>
  <c r="T7" i="1"/>
  <c r="V7" i="1"/>
  <c r="V8" i="1"/>
  <c r="E9" i="1"/>
  <c r="T5" i="1"/>
  <c r="T8" i="1"/>
  <c r="AE9" i="1" l="1"/>
  <c r="K9" i="1"/>
  <c r="V9" i="1"/>
  <c r="I9" i="1"/>
  <c r="Q9" i="1"/>
  <c r="O9" i="1"/>
  <c r="T9" i="1"/>
  <c r="L9" i="1"/>
</calcChain>
</file>

<file path=xl/sharedStrings.xml><?xml version="1.0" encoding="utf-8"?>
<sst xmlns="http://schemas.openxmlformats.org/spreadsheetml/2006/main" count="44" uniqueCount="37">
  <si>
    <t>Сведения об укомплектованности осмотрщиков-ремонтников вагонов</t>
  </si>
  <si>
    <t>Филиалы/
СП филиалов</t>
  </si>
  <si>
    <t>Списочная численность на 14.09.2025</t>
  </si>
  <si>
    <t>и.о.</t>
  </si>
  <si>
    <t>Списочная численность с учетом и.о. на 14.09.2025</t>
  </si>
  <si>
    <t>Технологическая потребность августа 2024</t>
  </si>
  <si>
    <t>дефицит ВСЕГО к оперативной потребности</t>
  </si>
  <si>
    <t xml:space="preserve">Новое задание по содержанию постоянного контингента на 2024г. </t>
  </si>
  <si>
    <t>Штатное расписание по состоянию на 6 мая с учетом временных</t>
  </si>
  <si>
    <t xml:space="preserve">% укомпл. 
всего к штатному расписанию </t>
  </si>
  <si>
    <t>штатная численность с 01.05.2025</t>
  </si>
  <si>
    <t>Штатное расписание с врем.</t>
  </si>
  <si>
    <t xml:space="preserve">% укомпл. 
Факт.ВСЕГО к штатному расписанию с врем.   </t>
  </si>
  <si>
    <t>Планируемый прием к 30 сентября</t>
  </si>
  <si>
    <t>ожидаемый отток к 30 сентября</t>
  </si>
  <si>
    <t>Ожидаемое восполнение к 30 сентября</t>
  </si>
  <si>
    <t>% укомлектованности к 30 сентября</t>
  </si>
  <si>
    <t>Плановая ФПКШ</t>
  </si>
  <si>
    <t>Ук.%</t>
  </si>
  <si>
    <t>Оперативная ФПКОП</t>
  </si>
  <si>
    <t>Оперативная (приведенная) ФПКОП</t>
  </si>
  <si>
    <t>штат</t>
  </si>
  <si>
    <t>в т.ч. временно на лето</t>
  </si>
  <si>
    <t>вольный найм</t>
  </si>
  <si>
    <t>студенты на практику</t>
  </si>
  <si>
    <t>группы подготовки</t>
  </si>
  <si>
    <t>ЛВЧД-4 (Горький)</t>
  </si>
  <si>
    <t>ЛВЧД Горький-Московский</t>
  </si>
  <si>
    <t>0</t>
  </si>
  <si>
    <t>ЛВЧД-7 (Киров)</t>
  </si>
  <si>
    <t>ЛВЧД Киров</t>
  </si>
  <si>
    <t>ЛВЧ-(Казань)</t>
  </si>
  <si>
    <t>ЛВЧ Казань</t>
  </si>
  <si>
    <t>ЛВЧ-(Ижевск)</t>
  </si>
  <si>
    <t>ЛВЧ Ижевск</t>
  </si>
  <si>
    <t>Горьковский</t>
  </si>
  <si>
    <t xml:space="preserve">ГОРЬК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</si>
</sst>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36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20"/>
      <name val="Times New Roman"/>
      <family val="1"/>
      <charset val="204"/>
    </font>
    <font>
      <sz val="28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BC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F0E3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2" fillId="2" borderId="0" xfId="0" applyFont="1" applyFill="1" applyAlignment="1">
      <alignment vertical="center"/>
    </xf>
    <xf numFmtId="49" fontId="3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9" fontId="5" fillId="0" borderId="6" xfId="1" applyFont="1" applyFill="1" applyBorder="1" applyAlignment="1" applyProtection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49" fontId="5" fillId="0" borderId="11" xfId="0" applyNumberFormat="1" applyFont="1" applyBorder="1" applyAlignment="1">
      <alignment horizontal="center" vertical="center" wrapText="1"/>
    </xf>
    <xf numFmtId="49" fontId="5" fillId="5" borderId="12" xfId="0" applyNumberFormat="1" applyFont="1" applyFill="1" applyBorder="1" applyAlignment="1">
      <alignment horizontal="center" vertical="center" wrapText="1"/>
    </xf>
    <xf numFmtId="49" fontId="5" fillId="7" borderId="13" xfId="0" applyNumberFormat="1" applyFont="1" applyFill="1" applyBorder="1" applyAlignment="1">
      <alignment horizontal="center" vertical="center" wrapText="1"/>
    </xf>
    <xf numFmtId="49" fontId="5" fillId="7" borderId="14" xfId="0" applyNumberFormat="1" applyFont="1" applyFill="1" applyBorder="1" applyAlignment="1">
      <alignment horizontal="center" vertical="center" wrapText="1"/>
    </xf>
    <xf numFmtId="49" fontId="5" fillId="8" borderId="15" xfId="0" applyNumberFormat="1" applyFont="1" applyFill="1" applyBorder="1" applyAlignment="1">
      <alignment horizontal="center" vertical="center" wrapText="1"/>
    </xf>
    <xf numFmtId="49" fontId="5" fillId="8" borderId="16" xfId="0" applyNumberFormat="1" applyFont="1" applyFill="1" applyBorder="1" applyAlignment="1">
      <alignment horizontal="center" vertical="center" wrapText="1"/>
    </xf>
    <xf numFmtId="9" fontId="5" fillId="0" borderId="17" xfId="1" applyFont="1" applyFill="1" applyBorder="1" applyAlignment="1" applyProtection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49" fontId="5" fillId="8" borderId="18" xfId="0" applyNumberFormat="1" applyFont="1" applyFill="1" applyBorder="1" applyAlignment="1">
      <alignment horizontal="center" vertical="center" wrapText="1"/>
    </xf>
    <xf numFmtId="49" fontId="5" fillId="8" borderId="5" xfId="0" applyNumberFormat="1" applyFont="1" applyFill="1" applyBorder="1" applyAlignment="1">
      <alignment horizontal="center" vertical="center" wrapText="1"/>
    </xf>
    <xf numFmtId="49" fontId="5" fillId="8" borderId="19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23" xfId="0" applyFont="1" applyFill="1" applyBorder="1"/>
    <xf numFmtId="49" fontId="5" fillId="3" borderId="23" xfId="0" quotePrefix="1" applyNumberFormat="1" applyFont="1" applyFill="1" applyBorder="1" applyAlignment="1">
      <alignment horizontal="left" vertical="center" wrapText="1"/>
    </xf>
    <xf numFmtId="1" fontId="5" fillId="3" borderId="24" xfId="0" quotePrefix="1" applyNumberFormat="1" applyFont="1" applyFill="1" applyBorder="1" applyAlignment="1">
      <alignment horizontal="center" vertical="center" wrapText="1"/>
    </xf>
    <xf numFmtId="1" fontId="5" fillId="3" borderId="25" xfId="0" quotePrefix="1" applyNumberFormat="1" applyFont="1" applyFill="1" applyBorder="1" applyAlignment="1">
      <alignment horizontal="center" vertical="center" wrapText="1"/>
    </xf>
    <xf numFmtId="9" fontId="5" fillId="3" borderId="26" xfId="0" quotePrefix="1" applyNumberFormat="1" applyFont="1" applyFill="1" applyBorder="1" applyAlignment="1">
      <alignment horizontal="center" vertical="center" wrapText="1"/>
    </xf>
    <xf numFmtId="9" fontId="5" fillId="3" borderId="27" xfId="0" quotePrefix="1" applyNumberFormat="1" applyFont="1" applyFill="1" applyBorder="1" applyAlignment="1">
      <alignment horizontal="center" vertical="center" wrapText="1"/>
    </xf>
    <xf numFmtId="1" fontId="5" fillId="3" borderId="3" xfId="0" quotePrefix="1" applyNumberFormat="1" applyFont="1" applyFill="1" applyBorder="1" applyAlignment="1">
      <alignment horizontal="center" vertical="center" wrapText="1"/>
    </xf>
    <xf numFmtId="1" fontId="5" fillId="3" borderId="24" xfId="0" applyNumberFormat="1" applyFont="1" applyFill="1" applyBorder="1" applyAlignment="1">
      <alignment horizontal="center" vertical="center" wrapText="1"/>
    </xf>
    <xf numFmtId="1" fontId="5" fillId="3" borderId="28" xfId="0" quotePrefix="1" applyNumberFormat="1" applyFont="1" applyFill="1" applyBorder="1" applyAlignment="1">
      <alignment horizontal="center" vertical="center" wrapText="1"/>
    </xf>
    <xf numFmtId="1" fontId="5" fillId="3" borderId="29" xfId="0" quotePrefix="1" applyNumberFormat="1" applyFont="1" applyFill="1" applyBorder="1" applyAlignment="1">
      <alignment horizontal="center" vertical="center" wrapText="1"/>
    </xf>
    <xf numFmtId="9" fontId="5" fillId="3" borderId="29" xfId="0" quotePrefix="1" applyNumberFormat="1" applyFont="1" applyFill="1" applyBorder="1" applyAlignment="1">
      <alignment horizontal="center" vertical="center" wrapText="1"/>
    </xf>
    <xf numFmtId="1" fontId="9" fillId="3" borderId="24" xfId="0" quotePrefix="1" applyNumberFormat="1" applyFont="1" applyFill="1" applyBorder="1" applyAlignment="1">
      <alignment horizontal="center" vertical="center" wrapText="1"/>
    </xf>
    <xf numFmtId="1" fontId="5" fillId="3" borderId="30" xfId="0" applyNumberFormat="1" applyFont="1" applyFill="1" applyBorder="1" applyAlignment="1">
      <alignment horizontal="center" vertical="center" wrapText="1"/>
    </xf>
    <xf numFmtId="1" fontId="5" fillId="3" borderId="31" xfId="0" quotePrefix="1" applyNumberFormat="1" applyFont="1" applyFill="1" applyBorder="1" applyAlignment="1">
      <alignment horizontal="center" vertical="center" wrapText="1"/>
    </xf>
    <xf numFmtId="0" fontId="5" fillId="3" borderId="25" xfId="0" quotePrefix="1" applyFont="1" applyFill="1" applyBorder="1" applyAlignment="1">
      <alignment horizontal="center" vertical="center" wrapText="1"/>
    </xf>
    <xf numFmtId="164" fontId="5" fillId="3" borderId="32" xfId="2" quotePrefix="1" applyNumberFormat="1" applyFont="1" applyFill="1" applyBorder="1" applyAlignment="1">
      <alignment horizontal="center" vertical="center" wrapText="1"/>
    </xf>
    <xf numFmtId="1" fontId="5" fillId="3" borderId="2" xfId="2" quotePrefix="1" applyNumberFormat="1" applyFont="1" applyFill="1" applyBorder="1" applyAlignment="1">
      <alignment horizontal="center" vertical="center" wrapText="1"/>
    </xf>
    <xf numFmtId="1" fontId="5" fillId="3" borderId="6" xfId="2" quotePrefix="1" applyNumberFormat="1" applyFont="1" applyFill="1" applyBorder="1" applyAlignment="1">
      <alignment horizontal="center" vertical="center" wrapText="1"/>
    </xf>
    <xf numFmtId="9" fontId="5" fillId="3" borderId="3" xfId="0" quotePrefix="1" applyNumberFormat="1" applyFont="1" applyFill="1" applyBorder="1" applyAlignment="1">
      <alignment horizontal="center" vertical="center" wrapText="1"/>
    </xf>
    <xf numFmtId="0" fontId="5" fillId="3" borderId="24" xfId="0" quotePrefix="1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1" fontId="8" fillId="3" borderId="0" xfId="0" applyNumberFormat="1" applyFont="1" applyFill="1" applyAlignment="1">
      <alignment vertical="center"/>
    </xf>
    <xf numFmtId="0" fontId="2" fillId="2" borderId="23" xfId="0" applyFont="1" applyFill="1" applyBorder="1"/>
    <xf numFmtId="1" fontId="5" fillId="3" borderId="33" xfId="0" applyNumberFormat="1" applyFont="1" applyFill="1" applyBorder="1" applyAlignment="1">
      <alignment horizontal="center" vertical="center" wrapText="1"/>
    </xf>
    <xf numFmtId="1" fontId="5" fillId="3" borderId="34" xfId="0" quotePrefix="1" applyNumberFormat="1" applyFont="1" applyFill="1" applyBorder="1" applyAlignment="1">
      <alignment horizontal="center" vertical="center" wrapText="1"/>
    </xf>
    <xf numFmtId="1" fontId="5" fillId="3" borderId="23" xfId="2" quotePrefix="1" applyNumberFormat="1" applyFont="1" applyFill="1" applyBorder="1" applyAlignment="1">
      <alignment horizontal="center" vertical="center" wrapText="1"/>
    </xf>
    <xf numFmtId="0" fontId="5" fillId="3" borderId="24" xfId="2" quotePrefix="1" applyFont="1" applyFill="1" applyBorder="1" applyAlignment="1">
      <alignment horizontal="center" vertical="center" wrapText="1"/>
    </xf>
    <xf numFmtId="9" fontId="5" fillId="3" borderId="24" xfId="0" quotePrefix="1" applyNumberFormat="1" applyFont="1" applyFill="1" applyBorder="1" applyAlignment="1">
      <alignment horizontal="center" vertical="center" wrapText="1"/>
    </xf>
    <xf numFmtId="49" fontId="5" fillId="3" borderId="35" xfId="0" quotePrefix="1" applyNumberFormat="1" applyFont="1" applyFill="1" applyBorder="1" applyAlignment="1">
      <alignment horizontal="left" vertical="center" wrapText="1"/>
    </xf>
    <xf numFmtId="1" fontId="5" fillId="3" borderId="36" xfId="0" quotePrefix="1" applyNumberFormat="1" applyFont="1" applyFill="1" applyBorder="1" applyAlignment="1">
      <alignment horizontal="center" vertical="center" wrapText="1"/>
    </xf>
    <xf numFmtId="1" fontId="5" fillId="3" borderId="37" xfId="0" quotePrefix="1" applyNumberFormat="1" applyFont="1" applyFill="1" applyBorder="1" applyAlignment="1">
      <alignment horizontal="center" vertical="center" wrapText="1"/>
    </xf>
    <xf numFmtId="9" fontId="5" fillId="3" borderId="38" xfId="0" quotePrefix="1" applyNumberFormat="1" applyFont="1" applyFill="1" applyBorder="1" applyAlignment="1">
      <alignment horizontal="center" vertical="center" wrapText="1"/>
    </xf>
    <xf numFmtId="9" fontId="5" fillId="3" borderId="39" xfId="0" quotePrefix="1" applyNumberFormat="1" applyFont="1" applyFill="1" applyBorder="1" applyAlignment="1">
      <alignment horizontal="center" vertical="center" wrapText="1"/>
    </xf>
    <xf numFmtId="1" fontId="5" fillId="3" borderId="6" xfId="0" quotePrefix="1" applyNumberFormat="1" applyFont="1" applyFill="1" applyBorder="1" applyAlignment="1">
      <alignment horizontal="center" vertical="center" wrapText="1"/>
    </xf>
    <xf numFmtId="1" fontId="5" fillId="3" borderId="36" xfId="0" applyNumberFormat="1" applyFont="1" applyFill="1" applyBorder="1" applyAlignment="1">
      <alignment horizontal="center" vertical="center" wrapText="1"/>
    </xf>
    <xf numFmtId="1" fontId="5" fillId="3" borderId="40" xfId="0" quotePrefix="1" applyNumberFormat="1" applyFont="1" applyFill="1" applyBorder="1" applyAlignment="1">
      <alignment horizontal="center" vertical="center" wrapText="1"/>
    </xf>
    <xf numFmtId="1" fontId="9" fillId="3" borderId="36" xfId="0" quotePrefix="1" applyNumberFormat="1" applyFont="1" applyFill="1" applyBorder="1" applyAlignment="1">
      <alignment horizontal="center" vertical="center" wrapText="1"/>
    </xf>
    <xf numFmtId="1" fontId="5" fillId="3" borderId="41" xfId="0" applyNumberFormat="1" applyFont="1" applyFill="1" applyBorder="1" applyAlignment="1">
      <alignment horizontal="center" vertical="center" wrapText="1"/>
    </xf>
    <xf numFmtId="1" fontId="5" fillId="3" borderId="42" xfId="0" quotePrefix="1" applyNumberFormat="1" applyFont="1" applyFill="1" applyBorder="1" applyAlignment="1">
      <alignment horizontal="center" vertical="center" wrapText="1"/>
    </xf>
    <xf numFmtId="0" fontId="5" fillId="3" borderId="37" xfId="0" quotePrefix="1" applyFont="1" applyFill="1" applyBorder="1" applyAlignment="1">
      <alignment horizontal="center" vertical="center" wrapText="1"/>
    </xf>
    <xf numFmtId="164" fontId="5" fillId="3" borderId="43" xfId="2" quotePrefix="1" applyNumberFormat="1" applyFont="1" applyFill="1" applyBorder="1" applyAlignment="1">
      <alignment horizontal="center" vertical="center" wrapText="1"/>
    </xf>
    <xf numFmtId="1" fontId="5" fillId="3" borderId="35" xfId="2" quotePrefix="1" applyNumberFormat="1" applyFont="1" applyFill="1" applyBorder="1" applyAlignment="1">
      <alignment horizontal="center" vertical="center" wrapText="1"/>
    </xf>
    <xf numFmtId="0" fontId="5" fillId="3" borderId="44" xfId="2" quotePrefix="1" applyFont="1" applyFill="1" applyBorder="1" applyAlignment="1">
      <alignment horizontal="center" vertical="center" wrapText="1"/>
    </xf>
    <xf numFmtId="0" fontId="10" fillId="2" borderId="23" xfId="0" applyFont="1" applyFill="1" applyBorder="1"/>
    <xf numFmtId="49" fontId="11" fillId="9" borderId="7" xfId="0" quotePrefix="1" applyNumberFormat="1" applyFont="1" applyFill="1" applyBorder="1" applyAlignment="1">
      <alignment horizontal="left" vertical="center" wrapText="1"/>
    </xf>
    <xf numFmtId="1" fontId="11" fillId="9" borderId="20" xfId="0" quotePrefix="1" applyNumberFormat="1" applyFont="1" applyFill="1" applyBorder="1" applyAlignment="1">
      <alignment horizontal="center" vertical="center" wrapText="1"/>
    </xf>
    <xf numFmtId="1" fontId="11" fillId="9" borderId="18" xfId="0" quotePrefix="1" applyNumberFormat="1" applyFont="1" applyFill="1" applyBorder="1" applyAlignment="1">
      <alignment horizontal="center" vertical="center" wrapText="1"/>
    </xf>
    <xf numFmtId="9" fontId="11" fillId="9" borderId="45" xfId="0" quotePrefix="1" applyNumberFormat="1" applyFont="1" applyFill="1" applyBorder="1" applyAlignment="1">
      <alignment horizontal="center" vertical="center" wrapText="1"/>
    </xf>
    <xf numFmtId="9" fontId="11" fillId="9" borderId="19" xfId="0" quotePrefix="1" applyNumberFormat="1" applyFont="1" applyFill="1" applyBorder="1" applyAlignment="1">
      <alignment horizontal="center" vertical="center" wrapText="1"/>
    </xf>
    <xf numFmtId="1" fontId="5" fillId="3" borderId="20" xfId="0" quotePrefix="1" applyNumberFormat="1" applyFont="1" applyFill="1" applyBorder="1" applyAlignment="1">
      <alignment horizontal="center" vertical="center" wrapText="1"/>
    </xf>
    <xf numFmtId="1" fontId="11" fillId="9" borderId="20" xfId="0" applyNumberFormat="1" applyFont="1" applyFill="1" applyBorder="1" applyAlignment="1">
      <alignment horizontal="center" vertical="center" wrapText="1"/>
    </xf>
    <xf numFmtId="9" fontId="11" fillId="9" borderId="20" xfId="0" quotePrefix="1" applyNumberFormat="1" applyFont="1" applyFill="1" applyBorder="1" applyAlignment="1">
      <alignment horizontal="center" vertical="center" wrapText="1"/>
    </xf>
    <xf numFmtId="1" fontId="12" fillId="9" borderId="20" xfId="0" quotePrefix="1" applyNumberFormat="1" applyFont="1" applyFill="1" applyBorder="1" applyAlignment="1">
      <alignment horizontal="center" vertical="center" wrapText="1"/>
    </xf>
    <xf numFmtId="1" fontId="11" fillId="9" borderId="5" xfId="0" quotePrefix="1" applyNumberFormat="1" applyFont="1" applyFill="1" applyBorder="1" applyAlignment="1">
      <alignment horizontal="center" vertical="center" wrapText="1"/>
    </xf>
    <xf numFmtId="1" fontId="11" fillId="9" borderId="7" xfId="2" quotePrefix="1" applyNumberFormat="1" applyFont="1" applyFill="1" applyBorder="1" applyAlignment="1">
      <alignment horizontal="center" vertical="center" wrapText="1"/>
    </xf>
    <xf numFmtId="1" fontId="11" fillId="9" borderId="7" xfId="0" quotePrefix="1" applyNumberFormat="1" applyFont="1" applyFill="1" applyBorder="1" applyAlignment="1">
      <alignment horizontal="center" vertical="center" wrapText="1"/>
    </xf>
    <xf numFmtId="1" fontId="11" fillId="9" borderId="24" xfId="2" quotePrefix="1" applyNumberFormat="1" applyFont="1" applyFill="1" applyBorder="1" applyAlignment="1">
      <alignment horizontal="center" vertical="center" wrapText="1"/>
    </xf>
    <xf numFmtId="0" fontId="13" fillId="9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vertical="center"/>
    </xf>
  </cellXfs>
  <cellStyles count="3">
    <cellStyle name="Обычный" xfId="0" builtinId="0"/>
    <cellStyle name="Обычный 2 4" xfId="2" xr:uid="{0FBCFFA4-F47A-4C58-A5AC-90B572B23D55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A1B3-8F69-48A2-88EF-50115C9352EE}">
  <sheetPr>
    <pageSetUpPr fitToPage="1"/>
  </sheetPr>
  <dimension ref="A1:AH22"/>
  <sheetViews>
    <sheetView tabSelected="1" view="pageBreakPreview" topLeftCell="B1" zoomScale="60" zoomScaleNormal="100" workbookViewId="0">
      <selection activeCell="B1" sqref="B1:AF2"/>
    </sheetView>
  </sheetViews>
  <sheetFormatPr defaultColWidth="9.109375" defaultRowHeight="13.8" outlineLevelRow="1" x14ac:dyDescent="0.3"/>
  <cols>
    <col min="1" max="1" width="39" style="101" hidden="1" customWidth="1"/>
    <col min="2" max="2" width="47.44140625" style="107" customWidth="1"/>
    <col min="3" max="3" width="24" style="107" customWidth="1"/>
    <col min="4" max="4" width="22.109375" style="107" customWidth="1"/>
    <col min="5" max="5" width="23.5546875" style="107" customWidth="1"/>
    <col min="6" max="6" width="22.88671875" style="107" hidden="1" customWidth="1"/>
    <col min="7" max="7" width="17" style="107" hidden="1" customWidth="1"/>
    <col min="8" max="8" width="23.33203125" style="107" hidden="1" customWidth="1"/>
    <col min="9" max="9" width="19.33203125" style="107" hidden="1" customWidth="1"/>
    <col min="10" max="10" width="25.88671875" style="107" hidden="1" customWidth="1"/>
    <col min="11" max="11" width="18.33203125" style="107" hidden="1" customWidth="1"/>
    <col min="12" max="12" width="24.44140625" style="107" hidden="1" customWidth="1"/>
    <col min="13" max="15" width="24.5546875" style="104" hidden="1" customWidth="1"/>
    <col min="16" max="16" width="26.5546875" style="107" hidden="1" customWidth="1"/>
    <col min="17" max="17" width="19.33203125" style="107" hidden="1" customWidth="1"/>
    <col min="18" max="19" width="21" style="107" customWidth="1"/>
    <col min="20" max="20" width="20.33203125" style="107" customWidth="1"/>
    <col min="21" max="21" width="24.5546875" style="104" hidden="1" customWidth="1"/>
    <col min="22" max="22" width="24.33203125" style="104" hidden="1" customWidth="1"/>
    <col min="23" max="23" width="23.109375" style="23" customWidth="1"/>
    <col min="24" max="24" width="1.109375" style="104" hidden="1" customWidth="1"/>
    <col min="25" max="25" width="26.33203125" style="104" customWidth="1"/>
    <col min="26" max="26" width="22.44140625" style="104" customWidth="1"/>
    <col min="27" max="28" width="24" style="104" hidden="1" customWidth="1"/>
    <col min="29" max="29" width="23.5546875" style="104" customWidth="1"/>
    <col min="30" max="30" width="23.44140625" style="107" customWidth="1"/>
    <col min="31" max="31" width="24.6640625" style="107" customWidth="1"/>
    <col min="32" max="32" width="5.33203125" style="108" hidden="1" customWidth="1"/>
    <col min="33" max="33" width="7.44140625" style="105" customWidth="1"/>
    <col min="34" max="16384" width="9.109375" style="105"/>
  </cols>
  <sheetData>
    <row r="1" spans="1:34" s="3" customFormat="1" ht="22.5" customHeight="1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4" s="6" customFormat="1" ht="39.75" customHeight="1" thickBot="1" x14ac:dyDescent="0.35">
      <c r="A2" s="4"/>
      <c r="B2" s="2"/>
      <c r="C2" s="2"/>
      <c r="D2" s="2"/>
      <c r="E2" s="2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4" s="6" customFormat="1" ht="107.25" customHeight="1" thickBot="1" x14ac:dyDescent="0.35">
      <c r="A3" s="4"/>
      <c r="B3" s="7" t="s">
        <v>1</v>
      </c>
      <c r="C3" s="8" t="s">
        <v>2</v>
      </c>
      <c r="D3" s="8" t="s">
        <v>3</v>
      </c>
      <c r="E3" s="8" t="s">
        <v>4</v>
      </c>
      <c r="F3" s="9" t="s">
        <v>5</v>
      </c>
      <c r="G3" s="9"/>
      <c r="H3" s="9"/>
      <c r="I3" s="9"/>
      <c r="J3" s="9"/>
      <c r="K3" s="10"/>
      <c r="L3" s="11" t="s">
        <v>6</v>
      </c>
      <c r="M3" s="12" t="s">
        <v>7</v>
      </c>
      <c r="N3" s="13" t="s">
        <v>8</v>
      </c>
      <c r="O3" s="13" t="s">
        <v>9</v>
      </c>
      <c r="P3" s="14" t="s">
        <v>10</v>
      </c>
      <c r="Q3" s="15"/>
      <c r="R3" s="15"/>
      <c r="S3" s="15"/>
      <c r="T3" s="16"/>
      <c r="U3" s="17" t="s">
        <v>11</v>
      </c>
      <c r="V3" s="17" t="s">
        <v>12</v>
      </c>
      <c r="W3" s="15" t="s">
        <v>13</v>
      </c>
      <c r="X3" s="15"/>
      <c r="Y3" s="15"/>
      <c r="Z3" s="16"/>
      <c r="AA3" s="18"/>
      <c r="AB3" s="18"/>
      <c r="AC3" s="19" t="s">
        <v>14</v>
      </c>
      <c r="AD3" s="20" t="s">
        <v>15</v>
      </c>
      <c r="AE3" s="21" t="s">
        <v>16</v>
      </c>
      <c r="AF3" s="22"/>
    </row>
    <row r="4" spans="1:34" s="3" customFormat="1" ht="114.75" customHeight="1" thickBot="1" x14ac:dyDescent="0.35">
      <c r="A4" s="23"/>
      <c r="B4" s="24"/>
      <c r="C4" s="25"/>
      <c r="D4" s="25"/>
      <c r="E4" s="25"/>
      <c r="F4" s="26" t="s">
        <v>17</v>
      </c>
      <c r="G4" s="27" t="s">
        <v>18</v>
      </c>
      <c r="H4" s="28" t="s">
        <v>19</v>
      </c>
      <c r="I4" s="29" t="s">
        <v>18</v>
      </c>
      <c r="J4" s="28" t="s">
        <v>20</v>
      </c>
      <c r="K4" s="29" t="s">
        <v>18</v>
      </c>
      <c r="L4" s="30"/>
      <c r="M4" s="31"/>
      <c r="N4" s="32"/>
      <c r="O4" s="32"/>
      <c r="P4" s="28" t="s">
        <v>19</v>
      </c>
      <c r="Q4" s="29" t="s">
        <v>18</v>
      </c>
      <c r="R4" s="33" t="s">
        <v>21</v>
      </c>
      <c r="S4" s="34" t="s">
        <v>22</v>
      </c>
      <c r="T4" s="35" t="s">
        <v>18</v>
      </c>
      <c r="U4" s="36"/>
      <c r="V4" s="36"/>
      <c r="W4" s="37" t="s">
        <v>23</v>
      </c>
      <c r="X4" s="37"/>
      <c r="Y4" s="37" t="s">
        <v>24</v>
      </c>
      <c r="Z4" s="38" t="s">
        <v>25</v>
      </c>
      <c r="AA4" s="18"/>
      <c r="AB4" s="18"/>
      <c r="AC4" s="39"/>
      <c r="AD4" s="40"/>
      <c r="AE4" s="41"/>
      <c r="AF4" s="42"/>
    </row>
    <row r="5" spans="1:34" s="63" customFormat="1" ht="51.75" customHeight="1" outlineLevel="1" thickBot="1" x14ac:dyDescent="0.3">
      <c r="A5" s="43" t="s">
        <v>26</v>
      </c>
      <c r="B5" s="44" t="s">
        <v>27</v>
      </c>
      <c r="C5" s="45">
        <v>28</v>
      </c>
      <c r="D5" s="45" t="s">
        <v>28</v>
      </c>
      <c r="E5" s="45">
        <f>SUM(C5+D5)</f>
        <v>28</v>
      </c>
      <c r="F5" s="46"/>
      <c r="G5" s="47"/>
      <c r="H5" s="46"/>
      <c r="I5" s="48"/>
      <c r="J5" s="46"/>
      <c r="K5" s="48"/>
      <c r="L5" s="49"/>
      <c r="M5" s="50"/>
      <c r="N5" s="50"/>
      <c r="O5" s="48"/>
      <c r="P5" s="46"/>
      <c r="Q5" s="48"/>
      <c r="R5" s="51">
        <v>28</v>
      </c>
      <c r="S5" s="52">
        <v>0</v>
      </c>
      <c r="T5" s="53">
        <f>SUM(E5/R5)</f>
        <v>1</v>
      </c>
      <c r="U5" s="54">
        <v>803</v>
      </c>
      <c r="V5" s="48">
        <f>E5/U5</f>
        <v>3.4869240348692404E-2</v>
      </c>
      <c r="W5" s="51">
        <v>0</v>
      </c>
      <c r="X5" s="55"/>
      <c r="Y5" s="51">
        <v>0</v>
      </c>
      <c r="Z5" s="56">
        <v>0</v>
      </c>
      <c r="AA5" s="57"/>
      <c r="AB5" s="58"/>
      <c r="AC5" s="59">
        <v>0</v>
      </c>
      <c r="AD5" s="60">
        <f>SUM((W5+Y5+Z5)-AC5)</f>
        <v>0</v>
      </c>
      <c r="AE5" s="61">
        <f>SUM((E5+AD5)/R5)</f>
        <v>1</v>
      </c>
      <c r="AF5" s="62"/>
      <c r="AH5" s="64"/>
    </row>
    <row r="6" spans="1:34" s="63" customFormat="1" ht="30" customHeight="1" outlineLevel="1" thickBot="1" x14ac:dyDescent="0.3">
      <c r="A6" s="65" t="s">
        <v>29</v>
      </c>
      <c r="B6" s="44" t="s">
        <v>30</v>
      </c>
      <c r="C6" s="45">
        <v>15</v>
      </c>
      <c r="D6" s="45">
        <v>1</v>
      </c>
      <c r="E6" s="45">
        <f>SUM(C6+D6)</f>
        <v>16</v>
      </c>
      <c r="F6" s="46"/>
      <c r="G6" s="47"/>
      <c r="H6" s="46"/>
      <c r="I6" s="48"/>
      <c r="J6" s="46"/>
      <c r="K6" s="48"/>
      <c r="L6" s="49"/>
      <c r="M6" s="50"/>
      <c r="N6" s="50"/>
      <c r="O6" s="48"/>
      <c r="P6" s="46"/>
      <c r="Q6" s="48"/>
      <c r="R6" s="45">
        <v>16</v>
      </c>
      <c r="S6" s="52">
        <v>1</v>
      </c>
      <c r="T6" s="53">
        <f>SUM(E6/R6)</f>
        <v>1</v>
      </c>
      <c r="U6" s="54">
        <v>377</v>
      </c>
      <c r="V6" s="48">
        <f>E6/U6</f>
        <v>4.2440318302387266E-2</v>
      </c>
      <c r="W6" s="45">
        <v>0</v>
      </c>
      <c r="X6" s="66"/>
      <c r="Y6" s="45">
        <v>0</v>
      </c>
      <c r="Z6" s="67">
        <v>0</v>
      </c>
      <c r="AA6" s="57"/>
      <c r="AB6" s="58"/>
      <c r="AC6" s="68">
        <v>0</v>
      </c>
      <c r="AD6" s="69">
        <f>SUM((W6+Y6+Z6)-AC6)</f>
        <v>0</v>
      </c>
      <c r="AE6" s="70">
        <f>SUM((E6+AD6)/R6)</f>
        <v>1</v>
      </c>
      <c r="AF6" s="62"/>
      <c r="AH6" s="64"/>
    </row>
    <row r="7" spans="1:34" s="63" customFormat="1" ht="30" customHeight="1" outlineLevel="1" thickBot="1" x14ac:dyDescent="0.3">
      <c r="A7" s="65" t="s">
        <v>31</v>
      </c>
      <c r="B7" s="44" t="s">
        <v>32</v>
      </c>
      <c r="C7" s="45">
        <v>38</v>
      </c>
      <c r="D7" s="45" t="s">
        <v>28</v>
      </c>
      <c r="E7" s="45">
        <f>SUM(C7+D7)</f>
        <v>38</v>
      </c>
      <c r="F7" s="46"/>
      <c r="G7" s="47"/>
      <c r="H7" s="46"/>
      <c r="I7" s="48"/>
      <c r="J7" s="46"/>
      <c r="K7" s="48"/>
      <c r="L7" s="49"/>
      <c r="M7" s="50"/>
      <c r="N7" s="50"/>
      <c r="O7" s="48"/>
      <c r="P7" s="46"/>
      <c r="Q7" s="48"/>
      <c r="R7" s="45">
        <v>38</v>
      </c>
      <c r="S7" s="52">
        <v>0</v>
      </c>
      <c r="T7" s="53">
        <f>SUM(E7/R7)</f>
        <v>1</v>
      </c>
      <c r="U7" s="54">
        <v>1098</v>
      </c>
      <c r="V7" s="48">
        <f>E7/U7</f>
        <v>3.4608378870673952E-2</v>
      </c>
      <c r="W7" s="45">
        <v>0</v>
      </c>
      <c r="X7" s="66"/>
      <c r="Y7" s="45">
        <v>0</v>
      </c>
      <c r="Z7" s="67">
        <v>0</v>
      </c>
      <c r="AA7" s="57"/>
      <c r="AB7" s="58"/>
      <c r="AC7" s="68">
        <v>0</v>
      </c>
      <c r="AD7" s="69">
        <f>SUM((W7+Y7+Z7)-AC7)</f>
        <v>0</v>
      </c>
      <c r="AE7" s="70">
        <f>SUM((E7+AD7)/R7)</f>
        <v>1</v>
      </c>
      <c r="AF7" s="62"/>
      <c r="AH7" s="64"/>
    </row>
    <row r="8" spans="1:34" s="63" customFormat="1" ht="30" customHeight="1" outlineLevel="1" thickBot="1" x14ac:dyDescent="0.3">
      <c r="A8" s="65" t="s">
        <v>33</v>
      </c>
      <c r="B8" s="71" t="s">
        <v>34</v>
      </c>
      <c r="C8" s="72">
        <v>17</v>
      </c>
      <c r="D8" s="45" t="s">
        <v>28</v>
      </c>
      <c r="E8" s="45">
        <f>SUM(C8+D8)</f>
        <v>17</v>
      </c>
      <c r="F8" s="73"/>
      <c r="G8" s="74"/>
      <c r="H8" s="73"/>
      <c r="I8" s="75"/>
      <c r="J8" s="73"/>
      <c r="K8" s="75"/>
      <c r="L8" s="76"/>
      <c r="M8" s="77"/>
      <c r="N8" s="77"/>
      <c r="O8" s="75"/>
      <c r="P8" s="73"/>
      <c r="Q8" s="75"/>
      <c r="R8" s="72">
        <v>17</v>
      </c>
      <c r="S8" s="78">
        <v>1</v>
      </c>
      <c r="T8" s="53">
        <f>SUM(E8/R8)</f>
        <v>1</v>
      </c>
      <c r="U8" s="79">
        <v>610</v>
      </c>
      <c r="V8" s="75">
        <f>E8/U8</f>
        <v>2.7868852459016394E-2</v>
      </c>
      <c r="W8" s="72">
        <v>0</v>
      </c>
      <c r="X8" s="80"/>
      <c r="Y8" s="72">
        <v>0</v>
      </c>
      <c r="Z8" s="81">
        <v>0</v>
      </c>
      <c r="AA8" s="82"/>
      <c r="AB8" s="83"/>
      <c r="AC8" s="84">
        <v>0</v>
      </c>
      <c r="AD8" s="85">
        <v>0</v>
      </c>
      <c r="AE8" s="70">
        <f>SUM((E8+AD8)/R8)</f>
        <v>1</v>
      </c>
      <c r="AF8" s="62"/>
      <c r="AH8" s="64"/>
    </row>
    <row r="9" spans="1:34" s="100" customFormat="1" ht="30" customHeight="1" thickBot="1" x14ac:dyDescent="0.3">
      <c r="A9" s="86" t="s">
        <v>35</v>
      </c>
      <c r="B9" s="87" t="s">
        <v>36</v>
      </c>
      <c r="C9" s="88">
        <f>SUM(C5+C6+C7+C8)</f>
        <v>98</v>
      </c>
      <c r="D9" s="88">
        <f>SUM(D5+D6+D7+D8)</f>
        <v>1</v>
      </c>
      <c r="E9" s="88">
        <f>SUM(E5+E6+E7+E8)</f>
        <v>99</v>
      </c>
      <c r="F9" s="89">
        <v>1912</v>
      </c>
      <c r="G9" s="90">
        <v>57</v>
      </c>
      <c r="H9" s="89">
        <f>SUM(H5:H8)</f>
        <v>0</v>
      </c>
      <c r="I9" s="91" t="e">
        <f>E9/H9</f>
        <v>#DIV/0!</v>
      </c>
      <c r="J9" s="89">
        <f>H9*168/167.6</f>
        <v>0</v>
      </c>
      <c r="K9" s="91" t="e">
        <f>E9/J9</f>
        <v>#DIV/0!</v>
      </c>
      <c r="L9" s="92">
        <f>H9-E9</f>
        <v>-99</v>
      </c>
      <c r="M9" s="93">
        <v>2795</v>
      </c>
      <c r="N9" s="93">
        <v>3110</v>
      </c>
      <c r="O9" s="91">
        <f>E9/N9</f>
        <v>3.1832797427652736E-2</v>
      </c>
      <c r="P9" s="89">
        <v>3019.9264705882351</v>
      </c>
      <c r="Q9" s="91">
        <f>E9/P9</f>
        <v>3.2782255119183853E-2</v>
      </c>
      <c r="R9" s="88">
        <f>SUM(R5+R6+R7+R8)</f>
        <v>99</v>
      </c>
      <c r="S9" s="88">
        <f>SUM(S5+S6+S7+S8)</f>
        <v>2</v>
      </c>
      <c r="T9" s="94">
        <f>SUM(E9/R9)</f>
        <v>1</v>
      </c>
      <c r="U9" s="95">
        <f>SUM(U5:U8)</f>
        <v>2888</v>
      </c>
      <c r="V9" s="91">
        <f>E9/U9</f>
        <v>3.4279778393351799E-2</v>
      </c>
      <c r="W9" s="88">
        <f>SUM(W5+W6+W7+W8)</f>
        <v>0</v>
      </c>
      <c r="X9" s="96">
        <f>SUM(X5+X6+X7+X8)</f>
        <v>0</v>
      </c>
      <c r="Y9" s="88">
        <f>SUM(Y5+Y6+Y7+Y8)</f>
        <v>0</v>
      </c>
      <c r="Z9" s="88">
        <f>SUM(Z5+Z6+Z7+Z8)</f>
        <v>0</v>
      </c>
      <c r="AA9" s="97" t="e">
        <f>X9-#REF!</f>
        <v>#REF!</v>
      </c>
      <c r="AB9" s="97" t="e">
        <f>Y9-#REF!</f>
        <v>#REF!</v>
      </c>
      <c r="AC9" s="98">
        <f>SUM(AC5+AC6+AC7+AC8)</f>
        <v>0</v>
      </c>
      <c r="AD9" s="98">
        <f>SUM((W9+Y9+Z9)-AC9)</f>
        <v>0</v>
      </c>
      <c r="AE9" s="94">
        <f>SUM((E9+AD9)/R9)</f>
        <v>1</v>
      </c>
      <c r="AF9" s="99">
        <v>10</v>
      </c>
      <c r="AH9" s="64"/>
    </row>
    <row r="10" spans="1:34" x14ac:dyDescent="0.3"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D10" s="104"/>
      <c r="AE10" s="104"/>
      <c r="AF10" s="105"/>
    </row>
    <row r="11" spans="1:34" x14ac:dyDescent="0.3"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D11" s="104"/>
      <c r="AE11" s="104"/>
      <c r="AF11" s="105"/>
    </row>
    <row r="12" spans="1:34" x14ac:dyDescent="0.3"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D12" s="104"/>
      <c r="AE12" s="104"/>
      <c r="AF12" s="105"/>
    </row>
    <row r="13" spans="1:34" x14ac:dyDescent="0.3"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D13" s="104"/>
      <c r="AE13" s="104"/>
      <c r="AF13" s="105"/>
    </row>
    <row r="14" spans="1:34" x14ac:dyDescent="0.3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D14" s="104"/>
      <c r="AE14" s="104"/>
      <c r="AF14" s="105"/>
    </row>
    <row r="15" spans="1:34" x14ac:dyDescent="0.3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D15" s="104"/>
      <c r="AE15" s="104"/>
      <c r="AF15" s="105"/>
    </row>
    <row r="16" spans="1:34" x14ac:dyDescent="0.3"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D16" s="104"/>
      <c r="AE16" s="104"/>
      <c r="AF16" s="105"/>
    </row>
    <row r="17" spans="1:32" x14ac:dyDescent="0.3"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D17" s="104"/>
      <c r="AE17" s="104"/>
      <c r="AF17" s="105"/>
    </row>
    <row r="18" spans="1:32" s="106" customFormat="1" x14ac:dyDescent="0.3">
      <c r="A18" s="101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4"/>
      <c r="AD18" s="104"/>
      <c r="AE18" s="104"/>
      <c r="AF18" s="105"/>
    </row>
    <row r="19" spans="1:32" s="106" customFormat="1" x14ac:dyDescent="0.3">
      <c r="A19" s="101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4"/>
      <c r="AD19" s="104"/>
      <c r="AE19" s="104"/>
      <c r="AF19" s="105"/>
    </row>
    <row r="20" spans="1:32" s="106" customFormat="1" x14ac:dyDescent="0.3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4"/>
      <c r="AD20" s="104"/>
      <c r="AE20" s="104"/>
      <c r="AF20" s="105"/>
    </row>
    <row r="21" spans="1:32" s="106" customFormat="1" x14ac:dyDescent="0.3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4"/>
      <c r="AD21" s="104"/>
      <c r="AE21" s="104"/>
      <c r="AF21" s="105"/>
    </row>
    <row r="22" spans="1:32" s="106" customFormat="1" x14ac:dyDescent="0.3">
      <c r="A22" s="101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4"/>
      <c r="AD22" s="104"/>
      <c r="AE22" s="104"/>
      <c r="AF22" s="105"/>
    </row>
  </sheetData>
  <mergeCells count="18">
    <mergeCell ref="AE3:AF4"/>
    <mergeCell ref="B10:M22"/>
    <mergeCell ref="P3:T3"/>
    <mergeCell ref="U3:U4"/>
    <mergeCell ref="V3:V4"/>
    <mergeCell ref="W3:Z3"/>
    <mergeCell ref="AC3:AC4"/>
    <mergeCell ref="AD3:AD4"/>
    <mergeCell ref="B1:AF2"/>
    <mergeCell ref="B3:B4"/>
    <mergeCell ref="C3:C4"/>
    <mergeCell ref="D3:D4"/>
    <mergeCell ref="E3:E4"/>
    <mergeCell ref="F3:K3"/>
    <mergeCell ref="L3:L4"/>
    <mergeCell ref="M3:M4"/>
    <mergeCell ref="N3:N4"/>
    <mergeCell ref="O3:O4"/>
  </mergeCells>
  <pageMargins left="0.70866141732283472" right="0.70866141732283472" top="0.74803149606299213" bottom="0.74803149606299213" header="0.31496062992125984" footer="0.31496062992125984"/>
  <pageSetup paperSize="9" scale="40" orientation="landscape" r:id="rId1"/>
  <colBreaks count="1" manualBreakCount="1">
    <brk id="31" max="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ОСМОТРЩИКИ</vt:lpstr>
      <vt:lpstr>ОСМОТРЩИКИ!Область_печати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Sulejmanov</dc:creator>
  <cp:lastModifiedBy>Marat Sulejmanov</cp:lastModifiedBy>
  <dcterms:created xsi:type="dcterms:W3CDTF">2025-12-26T18:24:45Z</dcterms:created>
  <dcterms:modified xsi:type="dcterms:W3CDTF">2025-12-26T18:24:56Z</dcterms:modified>
</cp:coreProperties>
</file>